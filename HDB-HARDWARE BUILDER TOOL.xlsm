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persons/person.xml" ContentType="application/vnd.ms-excel.person+xml"/>
  <Override PartName="/xl/threadedComments/threadedComment1.xml" ContentType="application/vnd.ms-excel.threadedcomment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Online-\ONLINE_30 Oct 2022\Fiverr\Najafirad Iran\"/>
    </mc:Choice>
  </mc:AlternateContent>
  <bookViews>
    <workbookView xWindow="0" yWindow="0" windowWidth="20490" windowHeight="7755" activeTab="2"/>
  </bookViews>
  <sheets>
    <sheet name="User Form" sheetId="3" r:id="rId1"/>
    <sheet name="data input" sheetId="1" r:id="rId2"/>
    <sheet name="HDB Canada" sheetId="2" r:id="rId3"/>
    <sheet name="Sheet1" sheetId="4" r:id="rId4"/>
  </sheets>
  <externalReferences>
    <externalReference r:id="rId5"/>
  </externalReferences>
  <definedNames>
    <definedName name="Lenght_CG26">'[1]Input Data'!$D$12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38" i="2" l="1"/>
  <c r="I37" i="2"/>
  <c r="I36" i="2"/>
  <c r="R5" i="2" l="1"/>
  <c r="M25" i="2"/>
  <c r="M18" i="2"/>
  <c r="M17" i="2"/>
  <c r="M16" i="2"/>
  <c r="M15" i="2"/>
  <c r="F9" i="2"/>
  <c r="F14" i="2"/>
  <c r="F27" i="2"/>
  <c r="N24" i="2"/>
  <c r="N23" i="2"/>
  <c r="N20" i="2"/>
  <c r="N19" i="2"/>
  <c r="N13" i="2"/>
  <c r="N12" i="2"/>
  <c r="N11" i="2"/>
  <c r="N10" i="2"/>
  <c r="N6" i="2"/>
  <c r="N5" i="2"/>
  <c r="N4" i="2"/>
  <c r="K10" i="2"/>
  <c r="K25" i="2"/>
  <c r="K24" i="2"/>
  <c r="K23" i="2"/>
  <c r="K22" i="2"/>
  <c r="K20" i="2"/>
  <c r="K19" i="2"/>
  <c r="K18" i="2"/>
  <c r="K17" i="2"/>
  <c r="K16" i="2"/>
  <c r="K15" i="2"/>
  <c r="G16" i="2"/>
  <c r="K13" i="2"/>
  <c r="K12" i="2"/>
  <c r="K11" i="2"/>
  <c r="K6" i="2"/>
  <c r="N8" i="2"/>
  <c r="O8" i="2" s="1"/>
  <c r="O26" i="2"/>
  <c r="E4" i="2"/>
  <c r="M39" i="2"/>
  <c r="O39" i="2" s="1"/>
  <c r="M33" i="2"/>
  <c r="O33" i="2" s="1"/>
  <c r="M30" i="2"/>
  <c r="O30" i="2" s="1"/>
  <c r="O25" i="2"/>
  <c r="O22" i="2"/>
  <c r="L20" i="2"/>
  <c r="L13" i="2"/>
  <c r="M12" i="2"/>
  <c r="L12" i="2"/>
  <c r="L11" i="2"/>
  <c r="C13" i="2"/>
  <c r="I28" i="2" s="1"/>
  <c r="M28" i="2" s="1"/>
  <c r="O28" i="2" s="1"/>
  <c r="H4" i="2"/>
  <c r="I31" i="2" l="1"/>
  <c r="M31" i="2" s="1"/>
  <c r="O31" i="2" s="1"/>
  <c r="I29" i="2"/>
  <c r="M29" i="2" s="1"/>
  <c r="O29" i="2" s="1"/>
  <c r="O12" i="2"/>
  <c r="I11" i="2"/>
  <c r="M11" i="2" s="1"/>
  <c r="O11" i="2" s="1"/>
  <c r="I13" i="2"/>
  <c r="M13" i="2" s="1"/>
  <c r="O13" i="2" s="1"/>
  <c r="L6" i="2"/>
  <c r="M38" i="2" l="1"/>
  <c r="O38" i="2" s="1"/>
  <c r="O18" i="2"/>
  <c r="O17" i="2"/>
  <c r="O16" i="2"/>
  <c r="O15" i="2"/>
  <c r="K5" i="2"/>
  <c r="K4" i="2"/>
  <c r="C15" i="2"/>
  <c r="M6" i="2" l="1"/>
  <c r="O6" i="2" s="1"/>
  <c r="M24" i="2"/>
  <c r="O24" i="2" s="1"/>
  <c r="M23" i="2"/>
  <c r="O23" i="2" s="1"/>
  <c r="M19" i="2"/>
  <c r="O19" i="2" s="1"/>
  <c r="M20" i="2"/>
  <c r="O20" i="2" s="1"/>
  <c r="O27" i="2" l="1"/>
  <c r="F46" i="2" l="1"/>
  <c r="C17" i="2"/>
  <c r="H44" i="2" s="1"/>
  <c r="N19" i="1" l="1"/>
  <c r="V4" i="1" l="1"/>
  <c r="V5" i="1"/>
  <c r="V6" i="1"/>
  <c r="V7" i="1"/>
  <c r="V3" i="1"/>
  <c r="U4" i="1"/>
  <c r="U5" i="1"/>
  <c r="U6" i="1"/>
  <c r="U7" i="1"/>
  <c r="U3" i="1"/>
  <c r="N18" i="1" l="1"/>
  <c r="C16" i="2" l="1"/>
  <c r="C14" i="2" l="1"/>
  <c r="M40" i="2" s="1"/>
  <c r="I40" i="2" l="1"/>
  <c r="O40" i="2" s="1"/>
  <c r="I32" i="2"/>
  <c r="M32" i="2" s="1"/>
  <c r="O32" i="2" s="1"/>
  <c r="O35" i="2" s="1"/>
  <c r="M36" i="2"/>
  <c r="O36" i="2" s="1"/>
  <c r="M37" i="2"/>
  <c r="O37" i="2" s="1"/>
  <c r="L4" i="2"/>
  <c r="M4" i="2" s="1"/>
  <c r="L5" i="2"/>
  <c r="M5" i="2" s="1"/>
  <c r="O5" i="2" s="1"/>
  <c r="I10" i="2"/>
  <c r="L10" i="2"/>
  <c r="M10" i="2" s="1"/>
  <c r="O10" i="2" s="1"/>
  <c r="O14" i="2" s="1"/>
  <c r="C19" i="2"/>
  <c r="C18" i="2"/>
  <c r="L8" i="2" s="1"/>
  <c r="M43" i="2" l="1"/>
  <c r="O43" i="2"/>
  <c r="O4" i="2"/>
  <c r="O9" i="2" s="1"/>
  <c r="O46" i="2" l="1"/>
  <c r="H49" i="2" l="1"/>
  <c r="H50" i="2" s="1"/>
  <c r="H51" i="2" s="1"/>
  <c r="H52" i="2" s="1"/>
  <c r="H55" i="2" s="1"/>
  <c r="H57" i="2" l="1"/>
  <c r="H60" i="2"/>
  <c r="H62" i="2" s="1"/>
  <c r="H56" i="2"/>
  <c r="H61" i="2" l="1"/>
</calcChain>
</file>

<file path=xl/comments1.xml><?xml version="1.0" encoding="utf-8"?>
<comments xmlns="http://schemas.openxmlformats.org/spreadsheetml/2006/main">
  <authors>
    <author>Najafirad, Payam</author>
  </authors>
  <commentList>
    <comment ref="D48" authorId="0" shapeId="0">
      <text>
        <r>
          <rPr>
            <b/>
            <sz val="9"/>
            <color indexed="81"/>
            <rFont val="Tahoma"/>
            <family val="2"/>
          </rPr>
          <t>Najafirad, Payam: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tc={1749F2AA-E238-4707-93CB-1AFF353A4926}</author>
    <author>tc={90B23DC4-C42E-454F-9F99-4349D4A428A7}</author>
    <author>tc={B981737E-87B1-4846-AFCE-3A1F592E09D2}</author>
    <author>Najafirad, Payam</author>
  </authors>
  <commentList>
    <comment ref="N11" authorId="0" shapeId="0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C$145/20'; Density:1.23lb/ft</t>
        </r>
      </text>
    </comment>
    <comment ref="N13" authorId="1" shapeId="0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C$135/12'</t>
        </r>
      </text>
    </comment>
    <comment ref="O15" authorId="2" shapeId="0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OH:15%' Ex:1.26</t>
        </r>
      </text>
    </comment>
    <comment ref="M28" authorId="3" shapeId="0">
      <text>
        <r>
          <rPr>
            <b/>
            <sz val="9"/>
            <color indexed="81"/>
            <rFont val="Tahoma"/>
            <family val="2"/>
          </rPr>
          <t>Najafirad, Payam:</t>
        </r>
        <r>
          <rPr>
            <sz val="9"/>
            <color indexed="81"/>
            <rFont val="Tahoma"/>
            <family val="2"/>
          </rPr>
          <t xml:space="preserve">
Najafirad, Payam:
C$/ft=39.32
lb/ft=13
C$/in=3.27
C$/lb=3</t>
        </r>
      </text>
    </comment>
    <comment ref="M29" authorId="3" shapeId="0">
      <text>
        <r>
          <rPr>
            <b/>
            <sz val="9"/>
            <color indexed="81"/>
            <rFont val="Tahoma"/>
            <family val="2"/>
          </rPr>
          <t>Najafirad, Payam:</t>
        </r>
        <r>
          <rPr>
            <sz val="9"/>
            <color indexed="81"/>
            <rFont val="Tahoma"/>
            <family val="2"/>
          </rPr>
          <t xml:space="preserve">
C$/ft=70.17
lb/ft=10.75
C$/in=5.85
C$/lb=6.5</t>
        </r>
      </text>
    </comment>
    <comment ref="M30" authorId="3" shapeId="0">
      <text>
        <r>
          <rPr>
            <b/>
            <sz val="9"/>
            <color indexed="81"/>
            <rFont val="Tahoma"/>
            <family val="2"/>
          </rPr>
          <t>Najafirad, Payam:</t>
        </r>
        <r>
          <rPr>
            <sz val="9"/>
            <color indexed="81"/>
            <rFont val="Tahoma"/>
            <family val="2"/>
          </rPr>
          <t xml:space="preserve">
C$/ft=9.7
lb/ft=3.71
C$/in=0.31
C$/lb=2.6</t>
        </r>
      </text>
    </comment>
    <comment ref="M31" authorId="3" shapeId="0">
      <text>
        <r>
          <rPr>
            <b/>
            <sz val="9"/>
            <color indexed="81"/>
            <rFont val="Tahoma"/>
            <family val="2"/>
          </rPr>
          <t>Najafirad, Payam:</t>
        </r>
        <r>
          <rPr>
            <sz val="9"/>
            <color indexed="81"/>
            <rFont val="Tahoma"/>
            <family val="2"/>
          </rPr>
          <t xml:space="preserve">
C$/ft=9.7
lb/ft=3.71
C$/in=0.31
C$/lb=2.6</t>
        </r>
      </text>
    </comment>
    <comment ref="M36" authorId="3" shapeId="0">
      <text>
        <r>
          <rPr>
            <b/>
            <sz val="9"/>
            <color indexed="81"/>
            <rFont val="Tahoma"/>
            <family val="2"/>
          </rPr>
          <t>Najafirad, Payam:</t>
        </r>
        <r>
          <rPr>
            <sz val="9"/>
            <color indexed="81"/>
            <rFont val="Tahoma"/>
            <family val="2"/>
          </rPr>
          <t xml:space="preserve">
C$/ft=7.31
lb/ft=2.44
C$/in=0.6
C$/lb=3</t>
        </r>
      </text>
    </comment>
    <comment ref="M37" authorId="3" shapeId="0">
      <text>
        <r>
          <rPr>
            <b/>
            <sz val="9"/>
            <color indexed="81"/>
            <rFont val="Tahoma"/>
            <family val="2"/>
          </rPr>
          <t>Najafirad, Payam:</t>
        </r>
        <r>
          <rPr>
            <sz val="9"/>
            <color indexed="81"/>
            <rFont val="Tahoma"/>
            <family val="2"/>
          </rPr>
          <t xml:space="preserve">
C$/ft=13.37
lb/ft=3.04
C$/in=1.11
C$/lb=4.3</t>
        </r>
      </text>
    </comment>
    <comment ref="M38" authorId="3" shapeId="0">
      <text>
        <r>
          <rPr>
            <b/>
            <sz val="9"/>
            <color indexed="81"/>
            <rFont val="Tahoma"/>
            <family val="2"/>
          </rPr>
          <t>Najafirad, Payam:</t>
        </r>
        <r>
          <rPr>
            <sz val="9"/>
            <color indexed="81"/>
            <rFont val="Tahoma"/>
            <family val="2"/>
          </rPr>
          <t xml:space="preserve">
C$/ft=7.63
lb/ft=3.19
C$/in=0.64
C$/lb=2.4</t>
        </r>
      </text>
    </comment>
    <comment ref="M39" authorId="3" shapeId="0">
      <text>
        <r>
          <rPr>
            <b/>
            <sz val="9"/>
            <color indexed="81"/>
            <rFont val="Tahoma"/>
            <family val="2"/>
          </rPr>
          <t>Najafirad, Payam:</t>
        </r>
        <r>
          <rPr>
            <sz val="9"/>
            <color indexed="81"/>
            <rFont val="Tahoma"/>
            <family val="2"/>
          </rPr>
          <t xml:space="preserve">
C$/ft=7.6
lb/ft=2.67
C$/in=0.63
C$/lb=2.85</t>
        </r>
      </text>
    </comment>
    <comment ref="O40" authorId="3" shapeId="0">
      <text>
        <r>
          <rPr>
            <b/>
            <sz val="9"/>
            <color indexed="81"/>
            <rFont val="Tahoma"/>
            <family val="2"/>
          </rPr>
          <t>Najafirad, Payam:</t>
        </r>
        <r>
          <rPr>
            <sz val="9"/>
            <color indexed="81"/>
            <rFont val="Tahoma"/>
            <family val="2"/>
          </rPr>
          <t xml:space="preserve">
US$70.68/ft</t>
        </r>
      </text>
    </comment>
  </commentList>
</comments>
</file>

<file path=xl/sharedStrings.xml><?xml version="1.0" encoding="utf-8"?>
<sst xmlns="http://schemas.openxmlformats.org/spreadsheetml/2006/main" count="203" uniqueCount="149">
  <si>
    <t>MODEL</t>
  </si>
  <si>
    <t>AIR FLOW</t>
  </si>
  <si>
    <t>DIM(HXWXD)</t>
  </si>
  <si>
    <t>PRESSURE DROP</t>
  </si>
  <si>
    <t>UNIT WEIGHT</t>
  </si>
  <si>
    <t>Bed hight</t>
  </si>
  <si>
    <t>Base height</t>
  </si>
  <si>
    <t>Aprox design FPM</t>
  </si>
  <si>
    <t>CFM</t>
  </si>
  <si>
    <t>H</t>
  </si>
  <si>
    <t>W</t>
  </si>
  <si>
    <t>D</t>
  </si>
  <si>
    <t>(INWG)</t>
  </si>
  <si>
    <t>(lb)</t>
  </si>
  <si>
    <t>inch</t>
  </si>
  <si>
    <t>CFM/W*D</t>
  </si>
  <si>
    <t>Bed Depth/conact time</t>
  </si>
  <si>
    <t>HDB500</t>
  </si>
  <si>
    <t>HDB1000</t>
  </si>
  <si>
    <t>HDB1500</t>
  </si>
  <si>
    <t>HDB2000</t>
  </si>
  <si>
    <t>HDB3000</t>
  </si>
  <si>
    <t>no. of stages</t>
  </si>
  <si>
    <t>t</t>
  </si>
  <si>
    <t>yes</t>
  </si>
  <si>
    <t>no</t>
  </si>
  <si>
    <t>ladder price astimate</t>
  </si>
  <si>
    <t>type of tubing</t>
  </si>
  <si>
    <t>1" 304sst tube</t>
  </si>
  <si>
    <t xml:space="preserve"> length of tubing (ft)</t>
  </si>
  <si>
    <t>price</t>
  </si>
  <si>
    <t>platform price per sqft</t>
  </si>
  <si>
    <t>platform d</t>
  </si>
  <si>
    <t>prefilter section depth</t>
  </si>
  <si>
    <t>MOC Cost</t>
  </si>
  <si>
    <t>MOC</t>
  </si>
  <si>
    <r>
      <t>C$/in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-Bolted</t>
    </r>
  </si>
  <si>
    <r>
      <t>C$/in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 xml:space="preserve">-Welded </t>
    </r>
  </si>
  <si>
    <t>SS-316</t>
  </si>
  <si>
    <t>SS-304</t>
  </si>
  <si>
    <t>Al</t>
  </si>
  <si>
    <t>P/N</t>
  </si>
  <si>
    <t>Description</t>
  </si>
  <si>
    <t>Qty</t>
  </si>
  <si>
    <t>UOM</t>
  </si>
  <si>
    <t>Input Data</t>
  </si>
  <si>
    <t>CFM:</t>
  </si>
  <si>
    <t xml:space="preserve">in² </t>
  </si>
  <si>
    <t>welded</t>
  </si>
  <si>
    <t>in</t>
  </si>
  <si>
    <t>W (in)</t>
  </si>
  <si>
    <t>ea</t>
  </si>
  <si>
    <t>D (in)</t>
  </si>
  <si>
    <t>Casing H (in)</t>
  </si>
  <si>
    <r>
      <t>Media Volume(ft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)</t>
    </r>
  </si>
  <si>
    <t xml:space="preserve">Design FPM </t>
  </si>
  <si>
    <t xml:space="preserve">Media </t>
  </si>
  <si>
    <r>
      <t>ft</t>
    </r>
    <r>
      <rPr>
        <vertAlign val="superscript"/>
        <sz val="11"/>
        <color theme="1"/>
        <rFont val="Calibri"/>
        <family val="2"/>
        <scheme val="minor"/>
      </rPr>
      <t>3</t>
    </r>
  </si>
  <si>
    <t>Perforated Sheet</t>
  </si>
  <si>
    <t>Side Panels</t>
  </si>
  <si>
    <t>Bottom and Top Panels</t>
  </si>
  <si>
    <t>https://www.mcmaster.com/4378K621/</t>
  </si>
  <si>
    <t>https://www.mcmaster.com/4378K612/</t>
  </si>
  <si>
    <t>Th. of MOC</t>
  </si>
  <si>
    <t>lb</t>
  </si>
  <si>
    <t>Support legs for Cross Bracing members-1.5"x1.5"x1/8"</t>
  </si>
  <si>
    <t>Internal Support Angles-1.5"x1.5"x1/8"(L:   )</t>
  </si>
  <si>
    <t>Inlet Pipe (316/316L SST Unthreaded Pipe, D:8"xL:4"xTh:0.148")</t>
  </si>
  <si>
    <t>https://www.mcmaster.com/68095K353/</t>
  </si>
  <si>
    <t>Discharge flange-Slip-on Weld Adapter, 6 Pipe Size</t>
  </si>
  <si>
    <t>https://www.mcmaster.com/68095K384/</t>
  </si>
  <si>
    <t>Discharge flange-Blind-Cap, 6 Pipe Size</t>
  </si>
  <si>
    <t>Air Outlet Flange-01</t>
  </si>
  <si>
    <t>Air Outlet Flange-02</t>
  </si>
  <si>
    <t>Fork Lift Tubes- 6x3x3/16</t>
  </si>
  <si>
    <t>Vertical Angle- 3x3x3/16</t>
  </si>
  <si>
    <t>Horizontal Angle-3x3x3/16</t>
  </si>
  <si>
    <t>Bag Hook-3x3x3/16</t>
  </si>
  <si>
    <t>Ladder Stand and Platform</t>
  </si>
  <si>
    <t>Support Frame Angles-2x2x3/16</t>
  </si>
  <si>
    <t>Safety Chain</t>
  </si>
  <si>
    <t>Ladder Frame and Standoff-FB2.5x3/8</t>
  </si>
  <si>
    <t>Ladder Step-D:1" Round Bar</t>
  </si>
  <si>
    <t>Floor Grating, Galvanized, 3'(W),1-1/4"(H)x3/16"( Wide Bearing Bar)</t>
  </si>
  <si>
    <t>Safety Railing Tube-1.5x1.5x3/16</t>
  </si>
  <si>
    <t>Raw Material Dimension(in)</t>
  </si>
  <si>
    <t>Th. of MOC (in)</t>
  </si>
  <si>
    <r>
      <t>Density of MOC(lb/in</t>
    </r>
    <r>
      <rPr>
        <vertAlign val="superscript"/>
        <sz val="11"/>
        <color theme="1"/>
        <rFont val="Calibri"/>
        <family val="2"/>
        <scheme val="minor"/>
      </rPr>
      <t>3</t>
    </r>
    <r>
      <rPr>
        <sz val="11"/>
        <color theme="1"/>
        <rFont val="Calibri"/>
        <family val="2"/>
        <scheme val="minor"/>
      </rPr>
      <t>)</t>
    </r>
  </si>
  <si>
    <t>Total Material Cost(C$)</t>
  </si>
  <si>
    <t>Exterior Panel Support- Horizontal</t>
  </si>
  <si>
    <t>Exterior Panel Support- Vertical</t>
  </si>
  <si>
    <t>Approximate Weight(lb)</t>
  </si>
  <si>
    <t>Cross Bracing Members-FB 2"x1/4"</t>
  </si>
  <si>
    <t xml:space="preserve">Pipes and Ports </t>
  </si>
  <si>
    <t>Paint</t>
  </si>
  <si>
    <t>Filling Port Flange</t>
  </si>
  <si>
    <t>2.88(W)x16.75(H)</t>
  </si>
  <si>
    <t>D:8xL:4xTh:0.148</t>
  </si>
  <si>
    <t>D:6xL:18xTh:0.134</t>
  </si>
  <si>
    <t>D:6</t>
  </si>
  <si>
    <t>3.38(W)x19(H)</t>
  </si>
  <si>
    <t>3.38(W)x24.25(H)</t>
  </si>
  <si>
    <t>Sampling Port-Cap</t>
  </si>
  <si>
    <t>Sampling Port-Threaded on One End, 2 NPT, 8" Long</t>
  </si>
  <si>
    <t>D:2xL:8</t>
  </si>
  <si>
    <t>Filling Port-Lead</t>
  </si>
  <si>
    <t>Filling Port-Gasket</t>
  </si>
  <si>
    <t>D:3/8xL:7/8</t>
  </si>
  <si>
    <t>Hex Bolt and Nut-3/8"-24 Thread Size, 7/8" Long-</t>
  </si>
  <si>
    <t>FB2.5x3/8</t>
  </si>
  <si>
    <t>Raw Material Cost(C$/lb,ea,in)</t>
  </si>
  <si>
    <t>T6x3x3/16</t>
  </si>
  <si>
    <t>T1.5x1.5x3/16</t>
  </si>
  <si>
    <t>L3x3x3/16</t>
  </si>
  <si>
    <t>Horizontal Cross Brace Angle-3x3x3/16</t>
  </si>
  <si>
    <t>L2x2x3/16</t>
  </si>
  <si>
    <t>HRS</t>
  </si>
  <si>
    <t>D:1x16</t>
  </si>
  <si>
    <t>FG36(W),1.25(H)x3/16</t>
  </si>
  <si>
    <t>C6x3.5x0.340</t>
  </si>
  <si>
    <t>Base Frame- C6x3.5x0.340 (C26153)</t>
  </si>
  <si>
    <t>Sight Glass 4"x48"x7/32"</t>
  </si>
  <si>
    <t>https://www.mcmaster.com/1749K629-1749K62/</t>
  </si>
  <si>
    <t>Polycarbonate</t>
  </si>
  <si>
    <t>Perforated sheet assmebly</t>
  </si>
  <si>
    <t>Galv.</t>
  </si>
  <si>
    <t>Total Cost(F4)-C$:</t>
  </si>
  <si>
    <t>Smooth Steel Bar Grating, Galvanized</t>
  </si>
  <si>
    <t xml:space="preserve">Threaded on One End, 2 NPT, 8" Long </t>
  </si>
  <si>
    <t>18-8 SST Hex Head , 3/8"-24, 7/8" Long</t>
  </si>
  <si>
    <t>Material Cost-C$:</t>
  </si>
  <si>
    <t>Actual Material Cost including Scrap Factor:</t>
  </si>
  <si>
    <t>Labour Cost(Manufacturing Cost)-C$:</t>
  </si>
  <si>
    <t>F3-C$:</t>
  </si>
  <si>
    <t>Recommended Selling Price-C$ (40%G.P):</t>
  </si>
  <si>
    <t>Cost-C$</t>
  </si>
  <si>
    <t>Cost Analysis:</t>
  </si>
  <si>
    <t>Total Cost(F4)-US$:</t>
  </si>
  <si>
    <t>F3-US$:</t>
  </si>
  <si>
    <t>Recommended Selling Price-US$ (40%G.P):</t>
  </si>
  <si>
    <t>Cost-US$: (US$/C$:1.26)</t>
  </si>
  <si>
    <t>Vendor</t>
  </si>
  <si>
    <t>Base Stand Structure in HRS</t>
  </si>
  <si>
    <t>Total height(in)</t>
  </si>
  <si>
    <t>Saftey/Scrap Factor</t>
  </si>
  <si>
    <t>Media Height(in)</t>
  </si>
  <si>
    <t>Base height(in)</t>
  </si>
  <si>
    <t>Contact time(Sec.) @ rated flow</t>
  </si>
  <si>
    <t>Media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</si>
</sst>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-* #,##0.00_-;\-* #,##0.00_-;_-* &quot;-&quot;??_-;_-@_-"/>
    <numFmt numFmtId="165" formatCode="[$CAD]\ #,##0.00;\-[$CAD]\ #,##0.00"/>
    <numFmt numFmtId="166" formatCode="0.0"/>
    <numFmt numFmtId="167" formatCode="0.000"/>
    <numFmt numFmtId="168" formatCode="_-* #,##0_-;\-* #,##0_-;_-* &quot;-&quot;??_-;_-@_-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10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1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4" fillId="0" borderId="0" applyNumberFormat="0" applyFill="0" applyBorder="0" applyAlignment="0" applyProtection="0"/>
  </cellStyleXfs>
  <cellXfs count="150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65" fontId="0" fillId="0" borderId="0" xfId="0" applyNumberFormat="1" applyBorder="1"/>
    <xf numFmtId="0" fontId="0" fillId="0" borderId="0" xfId="0" applyBorder="1"/>
    <xf numFmtId="0" fontId="0" fillId="0" borderId="0" xfId="0" applyBorder="1" applyAlignment="1">
      <alignment horizontal="center"/>
    </xf>
    <xf numFmtId="1" fontId="0" fillId="4" borderId="0" xfId="0" applyNumberFormat="1" applyFill="1" applyBorder="1" applyAlignment="1">
      <alignment horizontal="center" vertical="center"/>
    </xf>
    <xf numFmtId="0" fontId="0" fillId="0" borderId="0" xfId="0" applyFill="1" applyBorder="1" applyAlignment="1"/>
    <xf numFmtId="9" fontId="0" fillId="0" borderId="0" xfId="2" applyFont="1"/>
    <xf numFmtId="9" fontId="0" fillId="0" borderId="0" xfId="2" applyFont="1" applyFill="1" applyBorder="1"/>
    <xf numFmtId="1" fontId="0" fillId="2" borderId="0" xfId="0" applyNumberFormat="1" applyFill="1" applyBorder="1" applyAlignment="1">
      <alignment horizontal="center" vertical="center"/>
    </xf>
    <xf numFmtId="166" fontId="0" fillId="2" borderId="0" xfId="0" applyNumberFormat="1" applyFill="1" applyBorder="1" applyAlignment="1">
      <alignment horizontal="center" vertical="center"/>
    </xf>
    <xf numFmtId="164" fontId="0" fillId="0" borderId="0" xfId="0" applyNumberFormat="1" applyBorder="1"/>
    <xf numFmtId="0" fontId="0" fillId="0" borderId="0" xfId="0" applyFill="1" applyBorder="1"/>
    <xf numFmtId="0" fontId="0" fillId="0" borderId="11" xfId="0" applyBorder="1"/>
    <xf numFmtId="0" fontId="0" fillId="0" borderId="12" xfId="0" applyBorder="1"/>
    <xf numFmtId="0" fontId="0" fillId="0" borderId="14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66" fontId="0" fillId="4" borderId="0" xfId="0" applyNumberForma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8" xfId="0" applyBorder="1" applyAlignment="1">
      <alignment horizontal="center"/>
    </xf>
    <xf numFmtId="0" fontId="3" fillId="0" borderId="0" xfId="0" applyFont="1" applyBorder="1"/>
    <xf numFmtId="0" fontId="0" fillId="0" borderId="0" xfId="0" applyFill="1" applyBorder="1" applyAlignment="1">
      <alignment horizontal="left"/>
    </xf>
    <xf numFmtId="0" fontId="0" fillId="0" borderId="10" xfId="0" applyBorder="1"/>
    <xf numFmtId="166" fontId="0" fillId="0" borderId="11" xfId="0" applyNumberFormat="1" applyBorder="1"/>
    <xf numFmtId="166" fontId="0" fillId="0" borderId="1" xfId="0" applyNumberFormat="1" applyBorder="1" applyAlignment="1">
      <alignment horizontal="center"/>
    </xf>
    <xf numFmtId="0" fontId="0" fillId="0" borderId="3" xfId="0" applyBorder="1" applyAlignment="1">
      <alignment horizontal="center" vertical="center"/>
    </xf>
    <xf numFmtId="0" fontId="3" fillId="0" borderId="6" xfId="0" applyFont="1" applyFill="1" applyBorder="1" applyAlignment="1">
      <alignment horizontal="center" vertical="center"/>
    </xf>
    <xf numFmtId="0" fontId="0" fillId="0" borderId="6" xfId="0" applyBorder="1"/>
    <xf numFmtId="166" fontId="0" fillId="0" borderId="8" xfId="0" applyNumberFormat="1" applyBorder="1" applyAlignment="1">
      <alignment horizontal="center"/>
    </xf>
    <xf numFmtId="0" fontId="0" fillId="0" borderId="9" xfId="0" applyBorder="1"/>
    <xf numFmtId="166" fontId="0" fillId="4" borderId="0" xfId="2" applyNumberFormat="1" applyFont="1" applyFill="1" applyBorder="1" applyAlignment="1">
      <alignment horizontal="center" vertical="center"/>
    </xf>
    <xf numFmtId="0" fontId="2" fillId="0" borderId="0" xfId="0" applyFont="1" applyBorder="1"/>
    <xf numFmtId="0" fontId="2" fillId="0" borderId="0" xfId="0" applyFont="1" applyBorder="1" applyAlignment="1">
      <alignment horizontal="center" vertical="center"/>
    </xf>
    <xf numFmtId="167" fontId="0" fillId="0" borderId="0" xfId="0" applyNumberFormat="1" applyFill="1" applyBorder="1" applyAlignment="1">
      <alignment horizontal="center"/>
    </xf>
    <xf numFmtId="0" fontId="0" fillId="2" borderId="0" xfId="0" applyFill="1" applyAlignment="1">
      <alignment horizontal="center" vertical="center"/>
    </xf>
    <xf numFmtId="164" fontId="0" fillId="0" borderId="0" xfId="0" applyNumberFormat="1"/>
    <xf numFmtId="166" fontId="0" fillId="4" borderId="0" xfId="0" applyNumberFormat="1" applyFill="1" applyAlignment="1">
      <alignment horizontal="center"/>
    </xf>
    <xf numFmtId="0" fontId="0" fillId="6" borderId="0" xfId="0" applyFill="1"/>
    <xf numFmtId="0" fontId="0" fillId="6" borderId="0" xfId="0" applyFill="1" applyBorder="1"/>
    <xf numFmtId="0" fontId="3" fillId="0" borderId="3" xfId="0" applyFont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64" fontId="0" fillId="0" borderId="0" xfId="1" applyFont="1"/>
    <xf numFmtId="0" fontId="0" fillId="0" borderId="1" xfId="0" applyBorder="1"/>
    <xf numFmtId="0" fontId="0" fillId="0" borderId="0" xfId="0" applyAlignment="1">
      <alignment horizontal="center" vertical="center"/>
    </xf>
    <xf numFmtId="2" fontId="0" fillId="4" borderId="0" xfId="0" applyNumberForma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" fontId="0" fillId="9" borderId="0" xfId="0" applyNumberFormat="1" applyFill="1" applyBorder="1" applyAlignment="1">
      <alignment horizontal="center" vertical="center"/>
    </xf>
    <xf numFmtId="0" fontId="0" fillId="9" borderId="0" xfId="0" applyFill="1"/>
    <xf numFmtId="0" fontId="0" fillId="9" borderId="0" xfId="0" applyFill="1" applyAlignment="1">
      <alignment horizontal="center" vertical="center"/>
    </xf>
    <xf numFmtId="0" fontId="0" fillId="6" borderId="1" xfId="0" applyFill="1" applyBorder="1" applyAlignment="1">
      <alignment horizontal="left"/>
    </xf>
    <xf numFmtId="168" fontId="0" fillId="6" borderId="1" xfId="1" applyNumberFormat="1" applyFont="1" applyFill="1" applyBorder="1"/>
    <xf numFmtId="0" fontId="0" fillId="6" borderId="1" xfId="0" applyFill="1" applyBorder="1"/>
    <xf numFmtId="0" fontId="0" fillId="6" borderId="1" xfId="0" applyFill="1" applyBorder="1" applyAlignment="1">
      <alignment horizontal="center" vertical="center"/>
    </xf>
    <xf numFmtId="164" fontId="0" fillId="6" borderId="1" xfId="0" applyNumberFormat="1" applyFill="1" applyBorder="1" applyAlignment="1">
      <alignment horizontal="center" vertical="center"/>
    </xf>
    <xf numFmtId="166" fontId="0" fillId="6" borderId="1" xfId="0" applyNumberFormat="1" applyFill="1" applyBorder="1" applyAlignment="1">
      <alignment horizontal="center" vertical="center"/>
    </xf>
    <xf numFmtId="167" fontId="0" fillId="2" borderId="0" xfId="0" applyNumberFormat="1" applyFill="1" applyAlignment="1">
      <alignment horizontal="center" vertical="center"/>
    </xf>
    <xf numFmtId="2" fontId="0" fillId="6" borderId="1" xfId="0" applyNumberFormat="1" applyFill="1" applyBorder="1" applyAlignment="1">
      <alignment horizontal="center" vertical="center"/>
    </xf>
    <xf numFmtId="166" fontId="0" fillId="6" borderId="1" xfId="0" applyNumberFormat="1" applyFill="1" applyBorder="1"/>
    <xf numFmtId="166" fontId="0" fillId="0" borderId="1" xfId="0" applyNumberFormat="1" applyBorder="1"/>
    <xf numFmtId="166" fontId="0" fillId="6" borderId="1" xfId="0" applyNumberFormat="1" applyFill="1" applyBorder="1" applyAlignment="1">
      <alignment horizontal="center"/>
    </xf>
    <xf numFmtId="0" fontId="0" fillId="3" borderId="21" xfId="0" applyFill="1" applyBorder="1" applyAlignment="1">
      <alignment horizontal="center" vertical="center" textRotation="90" wrapText="1"/>
    </xf>
    <xf numFmtId="0" fontId="0" fillId="3" borderId="20" xfId="0" applyFill="1" applyBorder="1" applyAlignment="1">
      <alignment horizontal="center" vertical="center" textRotation="90" wrapText="1"/>
    </xf>
    <xf numFmtId="0" fontId="0" fillId="3" borderId="17" xfId="0" applyFill="1" applyBorder="1" applyAlignment="1">
      <alignment horizontal="center" vertical="center" textRotation="90" wrapText="1"/>
    </xf>
    <xf numFmtId="0" fontId="0" fillId="7" borderId="1" xfId="0" applyFill="1" applyBorder="1"/>
    <xf numFmtId="0" fontId="0" fillId="2" borderId="1" xfId="0" applyFill="1" applyBorder="1"/>
    <xf numFmtId="168" fontId="1" fillId="2" borderId="1" xfId="1" applyNumberFormat="1" applyFont="1" applyFill="1" applyBorder="1"/>
    <xf numFmtId="0" fontId="0" fillId="2" borderId="1" xfId="0" applyFont="1" applyFill="1" applyBorder="1"/>
    <xf numFmtId="0" fontId="0" fillId="2" borderId="1" xfId="0" applyFont="1" applyFill="1" applyBorder="1" applyAlignment="1">
      <alignment horizontal="center" vertical="center"/>
    </xf>
    <xf numFmtId="166" fontId="0" fillId="2" borderId="1" xfId="0" applyNumberFormat="1" applyFont="1" applyFill="1" applyBorder="1" applyAlignment="1">
      <alignment horizontal="center" vertical="center"/>
    </xf>
    <xf numFmtId="166" fontId="3" fillId="2" borderId="1" xfId="0" applyNumberFormat="1" applyFont="1" applyFill="1" applyBorder="1" applyAlignment="1">
      <alignment horizontal="left" vertical="center"/>
    </xf>
    <xf numFmtId="166" fontId="0" fillId="7" borderId="1" xfId="0" applyNumberFormat="1" applyFill="1" applyBorder="1"/>
    <xf numFmtId="0" fontId="0" fillId="7" borderId="1" xfId="0" applyFill="1" applyBorder="1" applyAlignment="1">
      <alignment horizontal="center" vertical="center"/>
    </xf>
    <xf numFmtId="2" fontId="3" fillId="7" borderId="1" xfId="0" applyNumberFormat="1" applyFont="1" applyFill="1" applyBorder="1" applyAlignment="1">
      <alignment horizontal="left" vertical="center"/>
    </xf>
    <xf numFmtId="166" fontId="3" fillId="7" borderId="1" xfId="0" applyNumberFormat="1" applyFont="1" applyFill="1" applyBorder="1" applyAlignment="1">
      <alignment horizontal="left"/>
    </xf>
    <xf numFmtId="166" fontId="3" fillId="2" borderId="1" xfId="0" applyNumberFormat="1" applyFont="1" applyFill="1" applyBorder="1" applyAlignment="1">
      <alignment horizontal="left"/>
    </xf>
    <xf numFmtId="0" fontId="0" fillId="7" borderId="1" xfId="0" applyFill="1" applyBorder="1" applyAlignment="1">
      <alignment horizontal="center"/>
    </xf>
    <xf numFmtId="2" fontId="0" fillId="6" borderId="1" xfId="0" applyNumberFormat="1" applyFill="1" applyBorder="1" applyAlignment="1">
      <alignment horizontal="center"/>
    </xf>
    <xf numFmtId="0" fontId="0" fillId="6" borderId="0" xfId="0" applyFill="1" applyBorder="1" applyAlignment="1">
      <alignment vertical="center" textRotation="90" wrapText="1"/>
    </xf>
    <xf numFmtId="1" fontId="0" fillId="6" borderId="0" xfId="0" applyNumberFormat="1" applyFill="1" applyBorder="1" applyAlignment="1">
      <alignment horizontal="center"/>
    </xf>
    <xf numFmtId="164" fontId="0" fillId="6" borderId="0" xfId="1" applyFont="1" applyFill="1" applyBorder="1" applyAlignment="1">
      <alignment horizontal="center" vertical="center"/>
    </xf>
    <xf numFmtId="164" fontId="0" fillId="6" borderId="0" xfId="0" applyNumberFormat="1" applyFill="1"/>
    <xf numFmtId="0" fontId="4" fillId="6" borderId="1" xfId="3" applyFill="1" applyBorder="1" applyAlignment="1">
      <alignment horizontal="left"/>
    </xf>
    <xf numFmtId="0" fontId="0" fillId="0" borderId="1" xfId="0" applyBorder="1" applyAlignment="1">
      <alignment horizontal="left"/>
    </xf>
    <xf numFmtId="0" fontId="4" fillId="0" borderId="1" xfId="3" applyBorder="1" applyAlignment="1">
      <alignment horizontal="left"/>
    </xf>
    <xf numFmtId="0" fontId="0" fillId="2" borderId="1" xfId="0" applyFill="1" applyBorder="1" applyAlignment="1">
      <alignment horizontal="left"/>
    </xf>
    <xf numFmtId="0" fontId="0" fillId="7" borderId="1" xfId="0" applyFill="1" applyBorder="1" applyAlignment="1">
      <alignment horizontal="left"/>
    </xf>
    <xf numFmtId="0" fontId="0" fillId="7" borderId="1" xfId="0" applyFill="1" applyBorder="1" applyAlignment="1">
      <alignment horizontal="center" vertical="center" textRotation="90" wrapText="1"/>
    </xf>
    <xf numFmtId="0" fontId="0" fillId="6" borderId="0" xfId="0" applyFill="1" applyBorder="1" applyAlignment="1">
      <alignment horizontal="center" vertical="center" textRotation="90" wrapText="1"/>
    </xf>
    <xf numFmtId="0" fontId="0" fillId="8" borderId="1" xfId="0" applyFill="1" applyBorder="1"/>
    <xf numFmtId="164" fontId="0" fillId="8" borderId="1" xfId="1" applyFont="1" applyFill="1" applyBorder="1" applyAlignment="1">
      <alignment horizontal="center" vertical="center"/>
    </xf>
    <xf numFmtId="164" fontId="0" fillId="6" borderId="1" xfId="0" applyNumberFormat="1" applyFill="1" applyBorder="1"/>
    <xf numFmtId="164" fontId="0" fillId="0" borderId="1" xfId="0" applyNumberFormat="1" applyBorder="1"/>
    <xf numFmtId="164" fontId="0" fillId="6" borderId="1" xfId="1" applyFont="1" applyFill="1" applyBorder="1" applyAlignment="1">
      <alignment horizontal="left" vertical="top"/>
    </xf>
    <xf numFmtId="166" fontId="0" fillId="0" borderId="1" xfId="0" applyNumberFormat="1" applyBorder="1" applyAlignment="1">
      <alignment horizontal="left"/>
    </xf>
    <xf numFmtId="0" fontId="0" fillId="0" borderId="0" xfId="0" applyBorder="1" applyAlignment="1">
      <alignment horizontal="left"/>
    </xf>
    <xf numFmtId="165" fontId="0" fillId="8" borderId="1" xfId="0" applyNumberFormat="1" applyFill="1" applyBorder="1" applyAlignment="1">
      <alignment horizontal="center" vertical="center"/>
    </xf>
    <xf numFmtId="0" fontId="0" fillId="8" borderId="16" xfId="0" applyFill="1" applyBorder="1" applyAlignment="1">
      <alignment horizontal="center" vertical="center"/>
    </xf>
    <xf numFmtId="0" fontId="0" fillId="8" borderId="1" xfId="0" applyFill="1" applyBorder="1" applyAlignment="1">
      <alignment horizontal="left" vertical="center"/>
    </xf>
    <xf numFmtId="0" fontId="0" fillId="8" borderId="1" xfId="0" applyFill="1" applyBorder="1" applyAlignment="1">
      <alignment vertical="center"/>
    </xf>
    <xf numFmtId="0" fontId="0" fillId="8" borderId="1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 wrapText="1"/>
    </xf>
    <xf numFmtId="0" fontId="4" fillId="0" borderId="1" xfId="3" applyBorder="1"/>
    <xf numFmtId="166" fontId="0" fillId="0" borderId="0" xfId="0" applyNumberFormat="1"/>
    <xf numFmtId="166" fontId="0" fillId="7" borderId="1" xfId="0" applyNumberFormat="1" applyFill="1" applyBorder="1" applyAlignment="1">
      <alignment horizontal="center" vertical="center"/>
    </xf>
    <xf numFmtId="166" fontId="0" fillId="2" borderId="1" xfId="0" applyNumberFormat="1" applyFill="1" applyBorder="1"/>
    <xf numFmtId="166" fontId="0" fillId="7" borderId="1" xfId="0" applyNumberFormat="1" applyFill="1" applyBorder="1" applyAlignment="1">
      <alignment horizontal="center"/>
    </xf>
    <xf numFmtId="166" fontId="0" fillId="8" borderId="1" xfId="0" applyNumberFormat="1" applyFill="1" applyBorder="1"/>
    <xf numFmtId="166" fontId="0" fillId="6" borderId="0" xfId="0" applyNumberFormat="1" applyFill="1" applyBorder="1"/>
    <xf numFmtId="164" fontId="0" fillId="6" borderId="1" xfId="0" applyNumberFormat="1" applyFill="1" applyBorder="1" applyAlignment="1">
      <alignment vertical="center"/>
    </xf>
    <xf numFmtId="0" fontId="2" fillId="6" borderId="1" xfId="0" applyFont="1" applyFill="1" applyBorder="1" applyAlignment="1">
      <alignment horizontal="left"/>
    </xf>
    <xf numFmtId="2" fontId="2" fillId="4" borderId="0" xfId="0" applyNumberFormat="1" applyFont="1" applyFill="1" applyBorder="1" applyAlignment="1">
      <alignment horizontal="center" vertical="center"/>
    </xf>
    <xf numFmtId="167" fontId="2" fillId="4" borderId="0" xfId="0" applyNumberFormat="1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0" fillId="0" borderId="15" xfId="0" applyBorder="1" applyAlignment="1">
      <alignment horizontal="center"/>
    </xf>
    <xf numFmtId="0" fontId="0" fillId="0" borderId="13" xfId="0" applyBorder="1" applyAlignment="1">
      <alignment horizontal="center"/>
    </xf>
    <xf numFmtId="0" fontId="3" fillId="0" borderId="3" xfId="0" applyFont="1" applyFill="1" applyBorder="1" applyAlignment="1">
      <alignment horizontal="center" vertical="center"/>
    </xf>
    <xf numFmtId="0" fontId="3" fillId="0" borderId="4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0" fontId="0" fillId="8" borderId="18" xfId="0" applyFill="1" applyBorder="1" applyAlignment="1">
      <alignment horizontal="center" vertical="center" textRotation="90" wrapText="1"/>
    </xf>
    <xf numFmtId="0" fontId="0" fillId="8" borderId="23" xfId="0" applyFill="1" applyBorder="1" applyAlignment="1">
      <alignment horizontal="center" vertical="center" textRotation="90" wrapText="1"/>
    </xf>
    <xf numFmtId="0" fontId="0" fillId="8" borderId="1" xfId="0" applyFill="1" applyBorder="1" applyAlignment="1">
      <alignment horizontal="left"/>
    </xf>
    <xf numFmtId="0" fontId="3" fillId="2" borderId="19" xfId="0" applyFont="1" applyFill="1" applyBorder="1" applyAlignment="1">
      <alignment horizontal="left"/>
    </xf>
    <xf numFmtId="0" fontId="3" fillId="2" borderId="21" xfId="0" applyFont="1" applyFill="1" applyBorder="1" applyAlignment="1">
      <alignment horizontal="left"/>
    </xf>
    <xf numFmtId="0" fontId="3" fillId="2" borderId="18" xfId="0" applyFont="1" applyFill="1" applyBorder="1" applyAlignment="1">
      <alignment horizontal="center" vertical="center" textRotation="90" wrapText="1"/>
    </xf>
    <xf numFmtId="0" fontId="3" fillId="2" borderId="22" xfId="0" applyFont="1" applyFill="1" applyBorder="1" applyAlignment="1">
      <alignment horizontal="center" vertical="center" textRotation="90" wrapText="1"/>
    </xf>
    <xf numFmtId="0" fontId="3" fillId="2" borderId="23" xfId="0" applyFont="1" applyFill="1" applyBorder="1" applyAlignment="1">
      <alignment horizontal="center" vertical="center" textRotation="90" wrapText="1"/>
    </xf>
    <xf numFmtId="1" fontId="0" fillId="8" borderId="1" xfId="0" applyNumberFormat="1" applyFill="1" applyBorder="1" applyAlignment="1">
      <alignment horizontal="center"/>
    </xf>
    <xf numFmtId="0" fontId="3" fillId="2" borderId="1" xfId="0" applyFont="1" applyFill="1" applyBorder="1" applyAlignment="1">
      <alignment horizontal="center" vertical="center" textRotation="90" wrapText="1"/>
    </xf>
    <xf numFmtId="0" fontId="3" fillId="7" borderId="18" xfId="0" applyFont="1" applyFill="1" applyBorder="1" applyAlignment="1">
      <alignment horizontal="center" vertical="center" textRotation="90" wrapText="1"/>
    </xf>
    <xf numFmtId="0" fontId="3" fillId="7" borderId="22" xfId="0" applyFont="1" applyFill="1" applyBorder="1" applyAlignment="1">
      <alignment horizontal="center" vertical="center" textRotation="90" wrapText="1"/>
    </xf>
    <xf numFmtId="0" fontId="3" fillId="7" borderId="23" xfId="0" applyFont="1" applyFill="1" applyBorder="1" applyAlignment="1">
      <alignment horizontal="center" vertical="center" textRotation="90" wrapText="1"/>
    </xf>
    <xf numFmtId="0" fontId="0" fillId="8" borderId="1" xfId="0" applyFill="1" applyBorder="1" applyAlignment="1">
      <alignment horizontal="center" vertical="center"/>
    </xf>
    <xf numFmtId="0" fontId="0" fillId="2" borderId="0" xfId="0" applyFill="1" applyBorder="1" applyAlignment="1">
      <alignment horizontal="left"/>
    </xf>
    <xf numFmtId="0" fontId="3" fillId="7" borderId="19" xfId="0" applyFont="1" applyFill="1" applyBorder="1" applyAlignment="1">
      <alignment horizontal="left"/>
    </xf>
    <xf numFmtId="0" fontId="3" fillId="7" borderId="21" xfId="0" applyFont="1" applyFill="1" applyBorder="1" applyAlignment="1">
      <alignment horizontal="left"/>
    </xf>
    <xf numFmtId="0" fontId="0" fillId="7" borderId="19" xfId="0" applyFill="1" applyBorder="1" applyAlignment="1">
      <alignment horizontal="left"/>
    </xf>
    <xf numFmtId="0" fontId="0" fillId="7" borderId="21" xfId="0" applyFill="1" applyBorder="1" applyAlignment="1">
      <alignment horizontal="left"/>
    </xf>
    <xf numFmtId="0" fontId="3" fillId="7" borderId="20" xfId="0" applyFont="1" applyFill="1" applyBorder="1" applyAlignment="1">
      <alignment horizontal="left"/>
    </xf>
    <xf numFmtId="0" fontId="3" fillId="2" borderId="20" xfId="0" applyFont="1" applyFill="1" applyBorder="1" applyAlignment="1">
      <alignment horizontal="left"/>
    </xf>
  </cellXfs>
  <cellStyles count="4">
    <cellStyle name="Comma" xfId="1" builtinId="3"/>
    <cellStyle name="Hyperlink" xfId="3" builtinId="8"/>
    <cellStyle name="Normal" xfId="0" builtinId="0"/>
    <cellStyle name="Percent" xfId="2" builtinId="5"/>
  </cellStyles>
  <dxfs count="1"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Relationship Id="rId14" Type="http://schemas.microsoft.com/office/2017/10/relationships/person" Target="persons/person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19050</xdr:rowOff>
    </xdr:from>
    <xdr:to>
      <xdr:col>4</xdr:col>
      <xdr:colOff>0</xdr:colOff>
      <xdr:row>3</xdr:row>
      <xdr:rowOff>9525</xdr:rowOff>
    </xdr:to>
    <xdr:sp macro="[0]!startHDB" textlink="">
      <xdr:nvSpPr>
        <xdr:cNvPr id="2" name="Rounded Rectangle 1"/>
        <xdr:cNvSpPr/>
      </xdr:nvSpPr>
      <xdr:spPr>
        <a:xfrm>
          <a:off x="609600" y="209550"/>
          <a:ext cx="1828800" cy="3714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600" b="1"/>
            <a:t>Open Entry</a:t>
          </a:r>
          <a:r>
            <a:rPr lang="en-US" sz="1600" b="1" baseline="0"/>
            <a:t> Form</a:t>
          </a:r>
          <a:endParaRPr lang="en-US" sz="16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154885</xdr:colOff>
      <xdr:row>20</xdr:row>
      <xdr:rowOff>24020</xdr:rowOff>
    </xdr:from>
    <xdr:to>
      <xdr:col>4</xdr:col>
      <xdr:colOff>251441</xdr:colOff>
      <xdr:row>35</xdr:row>
      <xdr:rowOff>15617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BB1CB5A5-9B55-4D3F-B727-30C77DC6B6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4885" y="3891998"/>
          <a:ext cx="2813252" cy="2849097"/>
        </a:xfrm>
        <a:prstGeom prst="rect">
          <a:avLst/>
        </a:prstGeom>
      </xdr:spPr>
    </xdr:pic>
    <xdr:clientData/>
  </xdr:twoCellAnchor>
  <xdr:twoCellAnchor editAs="oneCell">
    <xdr:from>
      <xdr:col>14</xdr:col>
      <xdr:colOff>168020</xdr:colOff>
      <xdr:row>14</xdr:row>
      <xdr:rowOff>163568</xdr:rowOff>
    </xdr:from>
    <xdr:to>
      <xdr:col>16</xdr:col>
      <xdr:colOff>49698</xdr:colOff>
      <xdr:row>22</xdr:row>
      <xdr:rowOff>89968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5BC42865-4D00-4D50-998F-E52D9BAF3E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904477" y="2855416"/>
          <a:ext cx="1745264" cy="1475248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camfilonline.sharepoint.com/sites/MCCDesignCenters-Toronto/Shared%20Documents/Toronto/Horizontal%20Deep%20Bed%20(HDB%20Design%20Files)/VDBs-P%20Hardware%20Builder%20Tool%20-%20Trial-Rev0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put Data"/>
      <sheetName val="BOM-standard"/>
      <sheetName val="BOM-custom"/>
    </sheetNames>
    <sheetDataSet>
      <sheetData sheetId="0"/>
      <sheetData sheetId="1"/>
      <sheetData sheetId="2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Najafirad, Payam" id="{A136350A-9DB0-4ABE-B4C0-DC8F3938375C}" userId="S::payam.najafirad@camfil.com::66022ce9-a5a3-4fe2-b00d-311b87ea10e5" providerId="AD"/>
</personList>
</file>

<file path=xl/tables/table1.xml><?xml version="1.0" encoding="utf-8"?>
<table xmlns="http://schemas.openxmlformats.org/spreadsheetml/2006/main" id="1" name="Table1" displayName="Table1" ref="B45:D48" totalsRowShown="0">
  <autoFilter ref="B45:D48"/>
  <tableColumns count="3">
    <tableColumn id="1" name="MOC"/>
    <tableColumn id="2" name="C$/in2-Bolted"/>
    <tableColumn id="3" name="C$/in2-Welded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N11" dT="2022-02-02T19:23:25.07" personId="{A136350A-9DB0-4ABE-B4C0-DC8F3938375C}" id="{1749F2AA-E238-4707-93CB-1AFF353A4926}">
    <text>C$145/20'; Density:1.23lb/ft</text>
  </threadedComment>
  <threadedComment ref="N13" dT="2022-02-02T19:25:16.07" personId="{A136350A-9DB0-4ABE-B4C0-DC8F3938375C}" id="{90B23DC4-C42E-454F-9F99-4349D4A428A7}">
    <text>C$135/12'</text>
  </threadedComment>
  <threadedComment ref="O15" dT="2022-02-02T19:26:25.60" personId="{A136350A-9DB0-4ABE-B4C0-DC8F3938375C}" id="{B981737E-87B1-4846-AFCE-3A1F592E09D2}">
    <text>OH:15%' Ex:1.26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cmaster.com/68095K353/" TargetMode="External"/><Relationship Id="rId3" Type="http://schemas.openxmlformats.org/officeDocument/2006/relationships/hyperlink" Target="https://www.mcmaster.com/6849T387-6849T818/" TargetMode="External"/><Relationship Id="rId7" Type="http://schemas.openxmlformats.org/officeDocument/2006/relationships/hyperlink" Target="https://www.mcmaster.com/1749K629-1749K62/" TargetMode="External"/><Relationship Id="rId12" Type="http://schemas.microsoft.com/office/2017/10/relationships/threadedComment" Target="../threadedComments/threadedComment1.xml"/><Relationship Id="rId2" Type="http://schemas.openxmlformats.org/officeDocument/2006/relationships/hyperlink" Target="https://www.mcmaster.com/4378K612/" TargetMode="External"/><Relationship Id="rId1" Type="http://schemas.openxmlformats.org/officeDocument/2006/relationships/hyperlink" Target="https://www.mcmaster.com/4378K621/" TargetMode="External"/><Relationship Id="rId6" Type="http://schemas.openxmlformats.org/officeDocument/2006/relationships/hyperlink" Target="https://www.mcmaster.com/92800A230/" TargetMode="External"/><Relationship Id="rId11" Type="http://schemas.openxmlformats.org/officeDocument/2006/relationships/comments" Target="../comments2.xml"/><Relationship Id="rId5" Type="http://schemas.openxmlformats.org/officeDocument/2006/relationships/hyperlink" Target="https://www.mcmaster.com/9110T955/" TargetMode="External"/><Relationship Id="rId10" Type="http://schemas.openxmlformats.org/officeDocument/2006/relationships/vmlDrawing" Target="../drawings/vmlDrawing2.vml"/><Relationship Id="rId4" Type="http://schemas.openxmlformats.org/officeDocument/2006/relationships/hyperlink" Target="https://www.mcmaster.com/68095K384/" TargetMode="External"/><Relationship Id="rId9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showGridLines="0" workbookViewId="0"/>
  </sheetViews>
  <sheetFormatPr defaultRowHeight="15" x14ac:dyDescent="0.2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V48"/>
  <sheetViews>
    <sheetView zoomScale="90" zoomScaleNormal="90" workbookViewId="0"/>
  </sheetViews>
  <sheetFormatPr defaultRowHeight="15" x14ac:dyDescent="0.25"/>
  <cols>
    <col min="3" max="3" width="15" customWidth="1"/>
    <col min="4" max="4" width="16.5703125" customWidth="1"/>
    <col min="13" max="13" width="21.42578125" bestFit="1" customWidth="1"/>
    <col min="14" max="14" width="12.7109375" bestFit="1" customWidth="1"/>
    <col min="15" max="15" width="15.28515625" bestFit="1" customWidth="1"/>
    <col min="16" max="16" width="12.7109375" bestFit="1" customWidth="1"/>
    <col min="17" max="17" width="15.7109375" bestFit="1" customWidth="1"/>
    <col min="18" max="18" width="13.28515625" bestFit="1" customWidth="1"/>
    <col min="19" max="19" width="13.28515625" customWidth="1"/>
    <col min="20" max="20" width="11.28515625" bestFit="1" customWidth="1"/>
    <col min="21" max="21" width="17.28515625" bestFit="1" customWidth="1"/>
    <col min="22" max="22" width="22" bestFit="1" customWidth="1"/>
  </cols>
  <sheetData>
    <row r="1" spans="12:22" x14ac:dyDescent="0.25">
      <c r="L1" s="6" t="s">
        <v>0</v>
      </c>
      <c r="M1" s="49" t="s">
        <v>1</v>
      </c>
      <c r="N1" s="123" t="s">
        <v>2</v>
      </c>
      <c r="O1" s="123"/>
      <c r="P1" s="123"/>
      <c r="Q1" s="49" t="s">
        <v>3</v>
      </c>
      <c r="R1" s="49" t="s">
        <v>4</v>
      </c>
      <c r="S1" s="49" t="s">
        <v>5</v>
      </c>
      <c r="T1" s="35" t="s">
        <v>6</v>
      </c>
      <c r="U1" s="126" t="s">
        <v>7</v>
      </c>
      <c r="V1" s="127"/>
    </row>
    <row r="2" spans="12:22" x14ac:dyDescent="0.25">
      <c r="L2" s="7"/>
      <c r="M2" s="5" t="s">
        <v>8</v>
      </c>
      <c r="N2" s="5" t="s">
        <v>9</v>
      </c>
      <c r="O2" s="5" t="s">
        <v>10</v>
      </c>
      <c r="P2" s="27" t="s">
        <v>11</v>
      </c>
      <c r="Q2" s="5" t="s">
        <v>12</v>
      </c>
      <c r="R2" s="5" t="s">
        <v>13</v>
      </c>
      <c r="S2" s="5" t="s">
        <v>14</v>
      </c>
      <c r="T2" s="4" t="s">
        <v>14</v>
      </c>
      <c r="U2" s="28" t="s">
        <v>15</v>
      </c>
      <c r="V2" s="36" t="s">
        <v>16</v>
      </c>
    </row>
    <row r="3" spans="12:22" x14ac:dyDescent="0.25">
      <c r="L3" s="8" t="s">
        <v>17</v>
      </c>
      <c r="M3" s="4">
        <v>500</v>
      </c>
      <c r="N3" s="4">
        <v>110</v>
      </c>
      <c r="O3" s="4">
        <v>35.5</v>
      </c>
      <c r="P3" s="28">
        <v>35.5</v>
      </c>
      <c r="Q3" s="4">
        <v>8</v>
      </c>
      <c r="R3" s="4">
        <v>1900</v>
      </c>
      <c r="S3" s="4">
        <v>28</v>
      </c>
      <c r="T3" s="4">
        <v>52</v>
      </c>
      <c r="U3" s="34">
        <f>M3/(O3/12*P3/12)</f>
        <v>57.131521523507232</v>
      </c>
      <c r="V3" s="37">
        <f>60*(S3/12)/2.5</f>
        <v>56</v>
      </c>
    </row>
    <row r="4" spans="12:22" x14ac:dyDescent="0.25">
      <c r="L4" s="8" t="s">
        <v>18</v>
      </c>
      <c r="M4" s="4">
        <v>1000</v>
      </c>
      <c r="N4" s="4">
        <v>110</v>
      </c>
      <c r="O4" s="4">
        <v>49.5</v>
      </c>
      <c r="P4" s="28">
        <v>49.5</v>
      </c>
      <c r="Q4" s="4">
        <v>8</v>
      </c>
      <c r="R4" s="4">
        <v>3500</v>
      </c>
      <c r="S4" s="4">
        <v>30</v>
      </c>
      <c r="T4" s="4">
        <v>52</v>
      </c>
      <c r="U4" s="34">
        <f t="shared" ref="U4:U7" si="0">M4/(O4/12*P4/12)</f>
        <v>58.76951331496786</v>
      </c>
      <c r="V4" s="37">
        <f t="shared" ref="V4:V7" si="1">60*(S4/12)/2.5</f>
        <v>60</v>
      </c>
    </row>
    <row r="5" spans="12:22" x14ac:dyDescent="0.25">
      <c r="L5" s="8" t="s">
        <v>19</v>
      </c>
      <c r="M5" s="4">
        <v>1500</v>
      </c>
      <c r="N5" s="4">
        <v>110</v>
      </c>
      <c r="O5" s="4">
        <v>60</v>
      </c>
      <c r="P5" s="28">
        <v>60</v>
      </c>
      <c r="Q5" s="4">
        <v>8</v>
      </c>
      <c r="R5" s="4">
        <v>5000</v>
      </c>
      <c r="S5" s="4">
        <v>32</v>
      </c>
      <c r="T5" s="4">
        <v>52</v>
      </c>
      <c r="U5" s="34">
        <f t="shared" si="0"/>
        <v>60</v>
      </c>
      <c r="V5" s="37">
        <f t="shared" si="1"/>
        <v>64</v>
      </c>
    </row>
    <row r="6" spans="12:22" x14ac:dyDescent="0.25">
      <c r="L6" s="8" t="s">
        <v>20</v>
      </c>
      <c r="M6" s="4">
        <v>2000</v>
      </c>
      <c r="N6" s="4">
        <v>110</v>
      </c>
      <c r="O6" s="4">
        <v>67</v>
      </c>
      <c r="P6" s="28">
        <v>67</v>
      </c>
      <c r="Q6" s="4">
        <v>8</v>
      </c>
      <c r="R6" s="4">
        <v>6600</v>
      </c>
      <c r="S6" s="4">
        <v>32</v>
      </c>
      <c r="T6" s="4">
        <v>52</v>
      </c>
      <c r="U6" s="34">
        <f t="shared" si="0"/>
        <v>64.156827801292053</v>
      </c>
      <c r="V6" s="37">
        <f t="shared" si="1"/>
        <v>64</v>
      </c>
    </row>
    <row r="7" spans="12:22" ht="15.75" thickBot="1" x14ac:dyDescent="0.3">
      <c r="L7" s="9" t="s">
        <v>21</v>
      </c>
      <c r="M7" s="10">
        <v>3000</v>
      </c>
      <c r="N7" s="10">
        <v>110</v>
      </c>
      <c r="O7" s="10">
        <v>81</v>
      </c>
      <c r="P7" s="29">
        <v>81</v>
      </c>
      <c r="Q7" s="10">
        <v>8</v>
      </c>
      <c r="R7" s="10">
        <v>9600</v>
      </c>
      <c r="S7" s="10">
        <v>32</v>
      </c>
      <c r="T7" s="10">
        <v>52</v>
      </c>
      <c r="U7" s="38">
        <f t="shared" si="0"/>
        <v>65.843621399176953</v>
      </c>
      <c r="V7" s="39">
        <f t="shared" si="1"/>
        <v>64</v>
      </c>
    </row>
    <row r="8" spans="12:22" x14ac:dyDescent="0.25">
      <c r="L8" s="1"/>
      <c r="M8" s="1"/>
      <c r="N8" s="1"/>
      <c r="O8" s="1"/>
      <c r="P8" s="1"/>
      <c r="Q8" s="1"/>
    </row>
    <row r="9" spans="12:22" ht="15.75" thickBot="1" x14ac:dyDescent="0.3">
      <c r="L9" s="1"/>
      <c r="M9" s="1"/>
      <c r="N9" s="1"/>
      <c r="O9" s="1"/>
      <c r="P9" s="1"/>
      <c r="Q9" s="1"/>
      <c r="U9" s="43"/>
    </row>
    <row r="10" spans="12:22" x14ac:dyDescent="0.25">
      <c r="O10" s="24" t="s">
        <v>22</v>
      </c>
      <c r="P10" s="50">
        <v>1</v>
      </c>
      <c r="Q10" s="1"/>
      <c r="S10" t="s">
        <v>23</v>
      </c>
    </row>
    <row r="11" spans="12:22" ht="15.75" thickBot="1" x14ac:dyDescent="0.3">
      <c r="O11" s="25"/>
      <c r="P11" s="51">
        <v>2</v>
      </c>
      <c r="Q11" s="1"/>
    </row>
    <row r="12" spans="12:22" x14ac:dyDescent="0.25">
      <c r="O12" s="1"/>
      <c r="P12" s="1"/>
      <c r="Q12" s="1"/>
    </row>
    <row r="13" spans="12:22" x14ac:dyDescent="0.25">
      <c r="O13" s="1"/>
      <c r="P13" s="1" t="s">
        <v>24</v>
      </c>
      <c r="Q13" s="1"/>
    </row>
    <row r="14" spans="12:22" x14ac:dyDescent="0.25">
      <c r="P14" s="2" t="s">
        <v>25</v>
      </c>
    </row>
    <row r="15" spans="12:22" ht="15.75" thickBot="1" x14ac:dyDescent="0.3"/>
    <row r="16" spans="12:22" ht="15.75" thickBot="1" x14ac:dyDescent="0.3">
      <c r="M16" s="124" t="s">
        <v>26</v>
      </c>
      <c r="N16" s="125"/>
    </row>
    <row r="17" spans="13:14" ht="15" customHeight="1" x14ac:dyDescent="0.25">
      <c r="M17" s="32" t="s">
        <v>27</v>
      </c>
      <c r="N17" s="32" t="s">
        <v>28</v>
      </c>
    </row>
    <row r="18" spans="13:14" x14ac:dyDescent="0.25">
      <c r="M18" s="22" t="s">
        <v>29</v>
      </c>
      <c r="N18" s="33">
        <f>6*20+100*2/12</f>
        <v>136.66666666666666</v>
      </c>
    </row>
    <row r="19" spans="13:14" ht="15.75" thickBot="1" x14ac:dyDescent="0.3">
      <c r="M19" s="23" t="s">
        <v>30</v>
      </c>
      <c r="N19" s="23">
        <f>50.4*2+7.2*6</f>
        <v>144</v>
      </c>
    </row>
    <row r="21" spans="13:14" x14ac:dyDescent="0.25">
      <c r="M21" t="s">
        <v>31</v>
      </c>
      <c r="N21">
        <v>270</v>
      </c>
    </row>
    <row r="22" spans="13:14" x14ac:dyDescent="0.25">
      <c r="M22" t="s">
        <v>32</v>
      </c>
      <c r="N22">
        <v>40.5</v>
      </c>
    </row>
    <row r="27" spans="13:14" x14ac:dyDescent="0.25">
      <c r="M27" s="12"/>
      <c r="N27" s="12" t="s">
        <v>14</v>
      </c>
    </row>
    <row r="28" spans="13:14" x14ac:dyDescent="0.25">
      <c r="M28" s="12" t="s">
        <v>33</v>
      </c>
      <c r="N28" s="12">
        <v>6</v>
      </c>
    </row>
    <row r="29" spans="13:14" x14ac:dyDescent="0.25">
      <c r="M29" s="12"/>
      <c r="N29" s="12"/>
    </row>
    <row r="44" spans="2:4" x14ac:dyDescent="0.25">
      <c r="B44" s="128" t="s">
        <v>34</v>
      </c>
      <c r="C44" s="128"/>
      <c r="D44" s="128"/>
    </row>
    <row r="45" spans="2:4" ht="17.25" x14ac:dyDescent="0.25">
      <c r="B45" s="30" t="s">
        <v>35</v>
      </c>
      <c r="C45" s="3" t="s">
        <v>36</v>
      </c>
      <c r="D45" s="3" t="s">
        <v>37</v>
      </c>
    </row>
    <row r="46" spans="2:4" x14ac:dyDescent="0.25">
      <c r="B46" s="12" t="s">
        <v>38</v>
      </c>
      <c r="C46" s="12">
        <v>0.14299999999999999</v>
      </c>
      <c r="D46" s="3">
        <v>0.191</v>
      </c>
    </row>
    <row r="47" spans="2:4" x14ac:dyDescent="0.25">
      <c r="B47" s="41" t="s">
        <v>39</v>
      </c>
      <c r="C47" s="41">
        <v>1</v>
      </c>
      <c r="D47" s="42">
        <v>1.1000000000000001</v>
      </c>
    </row>
    <row r="48" spans="2:4" x14ac:dyDescent="0.25">
      <c r="B48" s="41" t="s">
        <v>40</v>
      </c>
      <c r="C48" s="41">
        <v>2</v>
      </c>
      <c r="D48" s="42">
        <v>2.2000000000000002</v>
      </c>
    </row>
  </sheetData>
  <mergeCells count="4">
    <mergeCell ref="N1:P1"/>
    <mergeCell ref="M16:N16"/>
    <mergeCell ref="U1:V1"/>
    <mergeCell ref="B44:D44"/>
  </mergeCells>
  <pageMargins left="0.7" right="0.7" top="0.75" bottom="0.75" header="0.3" footer="0.3"/>
  <pageSetup paperSize="9" orientation="portrait" horizontalDpi="300" verticalDpi="300" r:id="rId1"/>
  <drawing r:id="rId2"/>
  <legacyDrawing r:id="rId3"/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U79"/>
  <sheetViews>
    <sheetView tabSelected="1" zoomScale="90" zoomScaleNormal="90" workbookViewId="0">
      <pane ySplit="2" topLeftCell="A30" activePane="bottomLeft" state="frozen"/>
      <selection activeCell="H1" sqref="H1"/>
      <selection pane="bottomLeft" activeCell="E48" sqref="E48"/>
    </sheetView>
  </sheetViews>
  <sheetFormatPr defaultRowHeight="15" x14ac:dyDescent="0.25"/>
  <cols>
    <col min="1" max="1" width="2.28515625" customWidth="1"/>
    <col min="2" max="2" width="27.140625" customWidth="1"/>
    <col min="3" max="3" width="9.85546875" customWidth="1"/>
    <col min="4" max="4" width="4" customWidth="1"/>
    <col min="5" max="5" width="16.85546875" customWidth="1"/>
    <col min="7" max="7" width="56.42578125" customWidth="1"/>
    <col min="8" max="8" width="11.5703125" bestFit="1" customWidth="1"/>
    <col min="9" max="10" width="7.5703125" customWidth="1"/>
    <col min="11" max="11" width="12.7109375" bestFit="1" customWidth="1"/>
    <col min="12" max="12" width="22.42578125" bestFit="1" customWidth="1"/>
    <col min="13" max="13" width="20" bestFit="1" customWidth="1"/>
    <col min="14" max="14" width="25.140625" bestFit="1" customWidth="1"/>
    <col min="15" max="15" width="22" customWidth="1"/>
    <col min="16" max="16" width="41.140625" bestFit="1" customWidth="1"/>
    <col min="17" max="17" width="11.7109375" bestFit="1" customWidth="1"/>
    <col min="18" max="18" width="12" bestFit="1" customWidth="1"/>
    <col min="20" max="20" width="18.85546875" bestFit="1" customWidth="1"/>
  </cols>
  <sheetData>
    <row r="1" spans="2:21" x14ac:dyDescent="0.25">
      <c r="G1" s="31"/>
      <c r="H1" s="31"/>
      <c r="I1" s="31"/>
      <c r="J1" s="31"/>
      <c r="K1" s="31"/>
      <c r="L1" s="31"/>
      <c r="M1" s="31"/>
      <c r="N1" s="31"/>
      <c r="O1" s="31"/>
      <c r="P1" s="11"/>
    </row>
    <row r="2" spans="2:21" s="12" customFormat="1" ht="30.75" thickBot="1" x14ac:dyDescent="0.3">
      <c r="F2" s="107" t="s">
        <v>41</v>
      </c>
      <c r="G2" s="108" t="s">
        <v>42</v>
      </c>
      <c r="H2" s="109" t="s">
        <v>43</v>
      </c>
      <c r="I2" s="142" t="s">
        <v>44</v>
      </c>
      <c r="J2" s="142"/>
      <c r="K2" s="110" t="s">
        <v>35</v>
      </c>
      <c r="L2" s="111" t="s">
        <v>85</v>
      </c>
      <c r="M2" s="110" t="s">
        <v>91</v>
      </c>
      <c r="N2" s="110" t="s">
        <v>110</v>
      </c>
      <c r="O2" s="110" t="s">
        <v>88</v>
      </c>
      <c r="P2" s="106" t="s">
        <v>141</v>
      </c>
    </row>
    <row r="3" spans="2:21" x14ac:dyDescent="0.25">
      <c r="G3" s="31"/>
      <c r="H3" s="12"/>
      <c r="I3" s="13"/>
      <c r="J3" s="13"/>
      <c r="K3" s="13"/>
      <c r="L3" s="13"/>
      <c r="M3" s="13"/>
      <c r="N3" s="13"/>
      <c r="O3" s="13"/>
      <c r="P3" s="11"/>
    </row>
    <row r="4" spans="2:21" ht="14.45" customHeight="1" x14ac:dyDescent="0.25">
      <c r="B4" s="143" t="s">
        <v>45</v>
      </c>
      <c r="C4" s="143"/>
      <c r="E4" s="138" t="str">
        <f>"Body Casing-6 Face"&amp;","&amp;IF(C6="yes"," Welded Construction "," Bolted Construction ")&amp; C7</f>
        <v>Body Casing-6 Face, Welded Construction SS-316</v>
      </c>
      <c r="F4" s="71"/>
      <c r="G4" s="60" t="s">
        <v>59</v>
      </c>
      <c r="H4" s="61">
        <f>1+1</f>
        <v>2</v>
      </c>
      <c r="I4" s="62"/>
      <c r="J4" s="63" t="s">
        <v>64</v>
      </c>
      <c r="K4" s="63" t="str">
        <f>C7</f>
        <v>SS-316</v>
      </c>
      <c r="L4" s="65" t="str">
        <f>(C13+C14)&amp;"(W)"&amp;"x"&amp;(C16+1.25)&amp;"(H)"</f>
        <v>72(W)x59.25(H)</v>
      </c>
      <c r="M4" s="65">
        <f>H4*(LEFT(L4,MIN(IFERROR(FIND("(W)",L4),"Error"))-1))*(LEFT(SUBSTITUTE(L4,LEFT(L4,MIN(IFERROR(FIND("x",L4),"Error"))),""),FIND("(H)",SUBSTITUTE(L4,LEFT(L4,MIN(IFERROR(FIND("x",L4),"Error"))),""))-1))*$C$15*$C$20</f>
        <v>152.50949999999997</v>
      </c>
      <c r="N4" s="65">
        <f>IF(C7="SS-316",5.5, IF(C7="SS-304",5.5*0.85,"Check the price"))</f>
        <v>5.5</v>
      </c>
      <c r="O4" s="65">
        <f>M4*N4</f>
        <v>838.80224999999984</v>
      </c>
      <c r="P4" s="53"/>
      <c r="Q4" s="15"/>
      <c r="R4" s="15"/>
      <c r="S4" s="15"/>
      <c r="T4" s="11"/>
      <c r="U4" s="12"/>
    </row>
    <row r="5" spans="2:21" x14ac:dyDescent="0.25">
      <c r="B5" s="12" t="s">
        <v>46</v>
      </c>
      <c r="C5" s="18">
        <v>500</v>
      </c>
      <c r="E5" s="138"/>
      <c r="F5" s="71"/>
      <c r="G5" s="60" t="s">
        <v>60</v>
      </c>
      <c r="H5" s="61">
        <v>2</v>
      </c>
      <c r="I5" s="62"/>
      <c r="J5" s="63" t="s">
        <v>64</v>
      </c>
      <c r="K5" s="63" t="str">
        <f>C7</f>
        <v>SS-316</v>
      </c>
      <c r="L5" s="63" t="str">
        <f>(C13+2.41)&amp;"(W)"&amp;"x"&amp;(C14+2.41)&amp;"(H)"</f>
        <v>38.41(W)x38.41(H)</v>
      </c>
      <c r="M5" s="65">
        <f>H5*(LEFT(L5,MIN(IFERROR(FIND("(W)",L5),"Error"))-1))*(LEFT(SUBSTITUTE(L5,LEFT(L5,MIN(IFERROR(FIND("x",L5),"Error"))),""),FIND("(H)",SUBSTITUTE(L5,LEFT(L5,MIN(IFERROR(FIND("x",L5),"Error"))),""))-1))*$C$15*$C$20</f>
        <v>52.742979574999985</v>
      </c>
      <c r="N5" s="65">
        <f>IF(C7="SS-316",5.5, IF(C7="SS-304",5.5*0.85,"Check the price"))</f>
        <v>5.5</v>
      </c>
      <c r="O5" s="65">
        <f>M5*N5</f>
        <v>290.08638766249993</v>
      </c>
      <c r="P5" s="53"/>
      <c r="Q5" s="15"/>
      <c r="R5" s="15">
        <f>7.5/5.5</f>
        <v>1.3636363636363635</v>
      </c>
      <c r="S5" s="15"/>
      <c r="T5" s="11"/>
      <c r="U5" s="12"/>
    </row>
    <row r="6" spans="2:21" x14ac:dyDescent="0.25">
      <c r="B6" s="15" t="s">
        <v>48</v>
      </c>
      <c r="C6" s="44" t="s">
        <v>24</v>
      </c>
      <c r="E6" s="138"/>
      <c r="F6" s="71"/>
      <c r="G6" s="60" t="s">
        <v>89</v>
      </c>
      <c r="H6" s="61">
        <v>4</v>
      </c>
      <c r="I6" s="62"/>
      <c r="J6" s="63" t="s">
        <v>64</v>
      </c>
      <c r="K6" s="63" t="str">
        <f>C7</f>
        <v>SS-316</v>
      </c>
      <c r="L6" s="63" t="str">
        <f>3.56&amp;"(W)"&amp;"x"&amp;C13&amp;"(H)"</f>
        <v>3.56(W)x36(H)</v>
      </c>
      <c r="M6" s="65">
        <f>H6*(LEFT(L6,MIN(IFERROR(FIND("(W)",L6),"Error"))-1))*(LEFT(SUBSTITUTE(L6,LEFT(L6,MIN(IFERROR(FIND("x",L6),"Error"))),""),FIND("(H)",SUBSTITUTE(L6,LEFT(L6,MIN(IFERROR(FIND("x",L6),"Error"))),""))-1))*$C$15*$C$20</f>
        <v>9.1634399999999996</v>
      </c>
      <c r="N6" s="65">
        <f>IF(C7="SS-316",5.5, IF(C7="SS-304",5.5*0.85,"Check the price"))</f>
        <v>5.5</v>
      </c>
      <c r="O6" s="65">
        <f>M6*N6</f>
        <v>50.398919999999997</v>
      </c>
      <c r="P6" s="53"/>
      <c r="Q6" s="15"/>
      <c r="R6" s="15"/>
      <c r="S6" s="15"/>
      <c r="T6" s="11"/>
      <c r="U6" s="12"/>
    </row>
    <row r="7" spans="2:21" x14ac:dyDescent="0.25">
      <c r="B7" s="15" t="s">
        <v>35</v>
      </c>
      <c r="C7" s="44" t="s">
        <v>38</v>
      </c>
      <c r="E7" s="138"/>
      <c r="F7" s="71"/>
      <c r="G7" s="60" t="s">
        <v>90</v>
      </c>
      <c r="H7" s="61"/>
      <c r="I7" s="62"/>
      <c r="J7" s="63"/>
      <c r="K7" s="63"/>
      <c r="L7" s="63"/>
      <c r="M7" s="65"/>
      <c r="N7" s="65"/>
      <c r="O7" s="63"/>
      <c r="P7" s="53"/>
      <c r="Q7" s="15"/>
      <c r="R7" s="15"/>
      <c r="S7" s="15"/>
      <c r="T7" s="11"/>
      <c r="U7" s="12"/>
    </row>
    <row r="8" spans="2:21" x14ac:dyDescent="0.25">
      <c r="B8" s="15"/>
      <c r="C8" s="44"/>
      <c r="E8" s="138"/>
      <c r="F8" s="72"/>
      <c r="G8" s="60" t="s">
        <v>121</v>
      </c>
      <c r="H8" s="61">
        <v>1</v>
      </c>
      <c r="I8" s="62"/>
      <c r="J8" s="63" t="s">
        <v>51</v>
      </c>
      <c r="K8" s="63" t="s">
        <v>123</v>
      </c>
      <c r="L8" s="63" t="str">
        <f>4&amp;"(W)"&amp;"x"&amp;ROUND(C18+10,0)&amp;"(H)"</f>
        <v>4(W)x38(H)</v>
      </c>
      <c r="M8" s="65"/>
      <c r="N8" s="65">
        <f>20.64*1.26*1.15</f>
        <v>29.907359999999997</v>
      </c>
      <c r="O8" s="65">
        <f>H8*N8</f>
        <v>29.907359999999997</v>
      </c>
      <c r="P8" s="112" t="s">
        <v>122</v>
      </c>
      <c r="Q8" s="15"/>
      <c r="R8" s="15"/>
      <c r="S8" s="15"/>
      <c r="T8" s="11"/>
      <c r="U8" s="12"/>
    </row>
    <row r="9" spans="2:21" ht="20.100000000000001" customHeight="1" x14ac:dyDescent="0.25">
      <c r="B9" s="15" t="s">
        <v>86</v>
      </c>
      <c r="C9" s="66">
        <v>6.25E-2</v>
      </c>
      <c r="E9" s="138"/>
      <c r="F9" s="132" t="str">
        <f>"Body Casing-6 Face"&amp;","&amp;IF(C6="yes"," Welded Construction, "," Bolted Construction,")&amp; C7</f>
        <v>Body Casing-6 Face, Welded Construction, SS-316</v>
      </c>
      <c r="G9" s="133"/>
      <c r="H9" s="76"/>
      <c r="I9" s="77"/>
      <c r="J9" s="78"/>
      <c r="K9" s="78"/>
      <c r="L9" s="78"/>
      <c r="M9" s="79"/>
      <c r="N9" s="79"/>
      <c r="O9" s="80">
        <f>SUM(O4:O8)</f>
        <v>1209.1949176624998</v>
      </c>
      <c r="P9" s="75"/>
      <c r="Q9" s="15"/>
      <c r="R9" s="15"/>
      <c r="S9" s="15"/>
      <c r="T9" s="11"/>
      <c r="U9" s="12"/>
    </row>
    <row r="10" spans="2:21" x14ac:dyDescent="0.25">
      <c r="B10" s="15" t="s">
        <v>147</v>
      </c>
      <c r="C10" s="44">
        <v>2.5</v>
      </c>
      <c r="E10" s="139" t="s">
        <v>124</v>
      </c>
      <c r="F10" s="71"/>
      <c r="G10" s="60" t="s">
        <v>58</v>
      </c>
      <c r="H10" s="62">
        <v>1</v>
      </c>
      <c r="I10" s="68">
        <f>(C13-5.12)*(C14-5.12)</f>
        <v>953.57439999999997</v>
      </c>
      <c r="J10" s="63" t="s">
        <v>47</v>
      </c>
      <c r="K10" s="63" t="str">
        <f>C7</f>
        <v>SS-316</v>
      </c>
      <c r="L10" s="63" t="str">
        <f>C13-5.12&amp;"(W)"&amp;"x"&amp;C14-5.12&amp;"(H)"</f>
        <v>30.88(W)x30.88(H)</v>
      </c>
      <c r="M10" s="65">
        <f>H10*(LEFT(L10,MIN(IFERROR(FIND("(W)",L10),"Error"))-1))*(LEFT(SUBSTITUTE(L10,LEFT(L10,MIN(IFERROR(FIND("x",L10),"Error"))),""),FIND("(H)",SUBSTITUTE(L10,LEFT(L10,MIN(IFERROR(FIND("x",L10),"Error"))),""))-1))*$C$15*$C$20</f>
        <v>17.0451424</v>
      </c>
      <c r="N10" s="65">
        <f>IF(C7="SS-316",20, IF(C7="SS-304",20*0.85,"Check the price"))</f>
        <v>20</v>
      </c>
      <c r="O10" s="65">
        <f>M10*N10</f>
        <v>340.90284800000001</v>
      </c>
      <c r="P10" s="53"/>
      <c r="Q10" s="15"/>
      <c r="R10" s="15"/>
      <c r="S10" s="15"/>
      <c r="T10" s="11"/>
      <c r="U10" s="12"/>
    </row>
    <row r="11" spans="2:21" x14ac:dyDescent="0.25">
      <c r="B11" s="15" t="s">
        <v>146</v>
      </c>
      <c r="C11" s="19">
        <v>52</v>
      </c>
      <c r="E11" s="140"/>
      <c r="F11" s="72"/>
      <c r="G11" s="60" t="s">
        <v>66</v>
      </c>
      <c r="H11" s="62">
        <v>4</v>
      </c>
      <c r="I11" s="69">
        <f>C13-4.7</f>
        <v>31.3</v>
      </c>
      <c r="J11" s="63" t="s">
        <v>49</v>
      </c>
      <c r="K11" s="63" t="str">
        <f>C7</f>
        <v>SS-316</v>
      </c>
      <c r="L11" s="70" t="str">
        <f>"1.5x1.5x1/8"&amp;"(L:45.3)"</f>
        <v>1.5x1.5x1/8(L:45.3)</v>
      </c>
      <c r="M11" s="119">
        <f>H11*(1.23*I11/12)</f>
        <v>12.833</v>
      </c>
      <c r="N11" s="65">
        <f>IF(C7="SS-316",145/20/1.23, IF(C7="SS-304",145/20/1.23*0.85,"Check the price"))</f>
        <v>5.8943089430894311</v>
      </c>
      <c r="O11" s="67">
        <f>M11*N11</f>
        <v>75.641666666666666</v>
      </c>
      <c r="P11" s="53"/>
      <c r="Q11" s="12"/>
      <c r="R11" s="12"/>
      <c r="S11" s="12"/>
      <c r="T11" s="11"/>
      <c r="U11" s="12"/>
    </row>
    <row r="12" spans="2:21" x14ac:dyDescent="0.25">
      <c r="B12" s="15" t="s">
        <v>143</v>
      </c>
      <c r="C12" s="19">
        <v>110</v>
      </c>
      <c r="D12" s="1"/>
      <c r="E12" s="140"/>
      <c r="F12" s="73"/>
      <c r="G12" s="60" t="s">
        <v>65</v>
      </c>
      <c r="H12" s="62">
        <v>4</v>
      </c>
      <c r="I12" s="62">
        <v>12</v>
      </c>
      <c r="J12" s="63" t="s">
        <v>49</v>
      </c>
      <c r="K12" s="63" t="str">
        <f>C7</f>
        <v>SS-316</v>
      </c>
      <c r="L12" s="70" t="str">
        <f>"1.5x1.5x1/8"&amp;"(L:12)"</f>
        <v>1.5x1.5x1/8(L:12)</v>
      </c>
      <c r="M12" s="64">
        <f>H12*(1.23*I12/12)</f>
        <v>4.92</v>
      </c>
      <c r="N12" s="65">
        <f>IF(C7="SS-316",145/20/1.23, IF(C7="SS-304",145/20/1.23*0.85,"Check the price"))</f>
        <v>5.8943089430894311</v>
      </c>
      <c r="O12" s="67">
        <f>M12*N12</f>
        <v>29</v>
      </c>
      <c r="P12" s="53"/>
      <c r="Q12" s="12"/>
      <c r="R12" s="12"/>
      <c r="S12" s="12"/>
      <c r="T12" s="12"/>
      <c r="U12" s="12"/>
    </row>
    <row r="13" spans="2:21" x14ac:dyDescent="0.25">
      <c r="B13" s="17" t="s">
        <v>50</v>
      </c>
      <c r="C13" s="40">
        <f>IF(C5='data input'!M3,36,IF('HDB Canada'!C5='data input'!M4,50,IF('HDB Canada'!C5='data input'!M5,60,IF('HDB Canada'!C5='data input'!M6,67,IF('HDB Canada'!C5='data input'!M7,81,0)))))</f>
        <v>36</v>
      </c>
      <c r="D13" s="54"/>
      <c r="E13" s="140"/>
      <c r="F13" s="72"/>
      <c r="G13" s="60" t="s">
        <v>92</v>
      </c>
      <c r="H13" s="62">
        <v>4</v>
      </c>
      <c r="I13" s="68">
        <f>C13-5.3</f>
        <v>30.7</v>
      </c>
      <c r="J13" s="63" t="s">
        <v>49</v>
      </c>
      <c r="K13" s="63" t="str">
        <f>C7</f>
        <v>SS-316</v>
      </c>
      <c r="L13" s="70" t="str">
        <f>2&amp;"(W)"&amp;"x"&amp;1/4&amp;"(H)"</f>
        <v>2(W)x0.25(H)</v>
      </c>
      <c r="M13" s="65">
        <f>H13*(LEFT(L13,MIN(IFERROR(FIND("(W)",L13),"Error"))-1))*(LEFT(SUBSTITUTE(L13,LEFT(L13,MIN(IFERROR(FIND("x",L13),"Error"))),""),FIND("(H)",SUBSTITUTE(L13,LEFT(L13,MIN(IFERROR(FIND("x",L13),"Error"))),""))-1))*I13*$C$20</f>
        <v>17.560399999999998</v>
      </c>
      <c r="N13" s="65">
        <f>IF(C7="SS-316",135/(12*12*2*0.25*C20), IF(C7="SS-304",135/(12*12*2*0.25*C20)*0.85,"Check the price"))</f>
        <v>6.5559440559440567</v>
      </c>
      <c r="O13" s="67">
        <f>M13*N13</f>
        <v>115.125</v>
      </c>
      <c r="P13" s="53"/>
      <c r="Q13" s="12"/>
      <c r="R13" s="12"/>
      <c r="S13" s="12"/>
      <c r="T13" s="12"/>
      <c r="U13" s="12"/>
    </row>
    <row r="14" spans="2:21" ht="20.100000000000001" customHeight="1" x14ac:dyDescent="0.25">
      <c r="B14" s="17" t="s">
        <v>52</v>
      </c>
      <c r="C14" s="26">
        <f>C13</f>
        <v>36</v>
      </c>
      <c r="D14" s="54"/>
      <c r="E14" s="141"/>
      <c r="F14" s="148" t="str">
        <f>"Perforated Sheet Assmebly,"&amp;C7</f>
        <v>Perforated Sheet Assmebly,SS-316</v>
      </c>
      <c r="G14" s="145"/>
      <c r="H14" s="74"/>
      <c r="I14" s="81"/>
      <c r="J14" s="82"/>
      <c r="K14" s="82"/>
      <c r="L14" s="74"/>
      <c r="M14" s="82"/>
      <c r="N14" s="114"/>
      <c r="O14" s="83">
        <f>SUM(O10:O13)</f>
        <v>560.6695146666666</v>
      </c>
      <c r="P14" s="74"/>
      <c r="Q14" s="12"/>
      <c r="R14" s="12"/>
      <c r="S14" s="12"/>
      <c r="T14" s="12"/>
      <c r="U14" s="12"/>
    </row>
    <row r="15" spans="2:21" x14ac:dyDescent="0.25">
      <c r="B15" s="17" t="s">
        <v>63</v>
      </c>
      <c r="C15" s="121">
        <f>1/16</f>
        <v>6.25E-2</v>
      </c>
      <c r="D15" s="54"/>
      <c r="E15" s="138" t="s">
        <v>93</v>
      </c>
      <c r="F15" s="72"/>
      <c r="G15" s="60" t="s">
        <v>67</v>
      </c>
      <c r="H15" s="62">
        <v>1</v>
      </c>
      <c r="I15" s="62"/>
      <c r="J15" s="63" t="s">
        <v>51</v>
      </c>
      <c r="K15" s="63" t="str">
        <f>C7</f>
        <v>SS-316</v>
      </c>
      <c r="L15" s="63" t="s">
        <v>97</v>
      </c>
      <c r="M15" s="67">
        <f>H15*3.14*((2*0.148)^2/4)*4*$C$20</f>
        <v>7.8682672639999979E-2</v>
      </c>
      <c r="N15" s="69"/>
      <c r="O15" s="65">
        <f>112.67*1.26*1.15</f>
        <v>163.25882999999999</v>
      </c>
      <c r="P15" s="92" t="s">
        <v>61</v>
      </c>
      <c r="Q15" s="12"/>
      <c r="R15" s="12"/>
      <c r="S15" s="12"/>
      <c r="T15" s="12"/>
      <c r="U15" s="12"/>
    </row>
    <row r="16" spans="2:21" x14ac:dyDescent="0.25">
      <c r="B16" s="12" t="s">
        <v>53</v>
      </c>
      <c r="C16" s="26">
        <f>110-C11</f>
        <v>58</v>
      </c>
      <c r="D16" s="54"/>
      <c r="E16" s="138"/>
      <c r="F16" s="72"/>
      <c r="G16" s="120" t="str">
        <f>"Discharge Port("&amp;C7&amp;"Unthreaded Pipe, D:6xL:18xTh:0.134"</f>
        <v>Discharge Port(SS-316Unthreaded Pipe, D:6xL:18xTh:0.134</v>
      </c>
      <c r="H16" s="62">
        <v>1</v>
      </c>
      <c r="I16" s="62"/>
      <c r="J16" s="63" t="s">
        <v>51</v>
      </c>
      <c r="K16" s="63" t="str">
        <f>C7</f>
        <v>SS-316</v>
      </c>
      <c r="L16" s="63" t="s">
        <v>98</v>
      </c>
      <c r="M16" s="67">
        <f>H16*3.14*((2*0.148)^2/4)*18*$C$20</f>
        <v>0.35407202687999989</v>
      </c>
      <c r="N16" s="69"/>
      <c r="O16" s="65">
        <f>345.66*1.26*1.15</f>
        <v>500.86133999999998</v>
      </c>
      <c r="P16" s="92" t="s">
        <v>62</v>
      </c>
      <c r="Q16" s="12"/>
      <c r="R16" s="12"/>
      <c r="S16" s="12"/>
      <c r="T16" s="12"/>
      <c r="U16" s="12"/>
    </row>
    <row r="17" spans="2:21" ht="17.25" x14ac:dyDescent="0.25">
      <c r="B17" s="15" t="s">
        <v>54</v>
      </c>
      <c r="C17" s="46">
        <f>C5*C10/60</f>
        <v>20.833333333333332</v>
      </c>
      <c r="D17" s="56"/>
      <c r="E17" s="138"/>
      <c r="F17" s="72"/>
      <c r="G17" s="60" t="s">
        <v>69</v>
      </c>
      <c r="H17" s="62">
        <v>1</v>
      </c>
      <c r="I17" s="62"/>
      <c r="J17" s="63" t="s">
        <v>51</v>
      </c>
      <c r="K17" s="63" t="str">
        <f>C7</f>
        <v>SS-316</v>
      </c>
      <c r="L17" s="63" t="s">
        <v>99</v>
      </c>
      <c r="M17" s="65">
        <f>H17*3.14*((11-6.72)^2/4)*1*$C$20</f>
        <v>4.1126639840000001</v>
      </c>
      <c r="N17" s="69"/>
      <c r="O17" s="65">
        <f>76.91*1.26*1.15</f>
        <v>111.44258999999998</v>
      </c>
      <c r="P17" s="92" t="s">
        <v>68</v>
      </c>
      <c r="Q17" s="12"/>
      <c r="R17" s="12"/>
      <c r="S17" s="12"/>
      <c r="T17" s="12"/>
      <c r="U17" s="12"/>
    </row>
    <row r="18" spans="2:21" x14ac:dyDescent="0.25">
      <c r="B18" s="16" t="s">
        <v>145</v>
      </c>
      <c r="C18" s="46">
        <f>12*12*12*C17/C13/C14</f>
        <v>27.777777777777779</v>
      </c>
      <c r="D18" s="56"/>
      <c r="E18" s="138"/>
      <c r="F18" s="72"/>
      <c r="G18" s="60" t="s">
        <v>71</v>
      </c>
      <c r="H18" s="62">
        <v>1</v>
      </c>
      <c r="I18" s="62"/>
      <c r="J18" s="63" t="s">
        <v>51</v>
      </c>
      <c r="K18" s="63" t="str">
        <f>C7</f>
        <v>SS-316</v>
      </c>
      <c r="L18" s="63" t="s">
        <v>99</v>
      </c>
      <c r="M18" s="65">
        <f>H18*3.14*(11^2/4)*1*$C$20</f>
        <v>27.165709999999997</v>
      </c>
      <c r="N18" s="69"/>
      <c r="O18" s="65">
        <f>87.82*1.26*1.15</f>
        <v>127.25117999999999</v>
      </c>
      <c r="P18" s="92" t="s">
        <v>70</v>
      </c>
      <c r="Q18" s="12"/>
      <c r="R18" s="12"/>
      <c r="S18" s="12"/>
      <c r="T18" s="12"/>
      <c r="U18" s="12"/>
    </row>
    <row r="19" spans="2:21" x14ac:dyDescent="0.25">
      <c r="B19" s="12" t="s">
        <v>55</v>
      </c>
      <c r="C19" s="14">
        <f>C5/(C13/12*C14/12)</f>
        <v>55.555555555555557</v>
      </c>
      <c r="D19" s="54"/>
      <c r="E19" s="138"/>
      <c r="F19" s="72"/>
      <c r="G19" s="60" t="s">
        <v>95</v>
      </c>
      <c r="H19" s="62">
        <v>4</v>
      </c>
      <c r="J19" s="63" t="s">
        <v>51</v>
      </c>
      <c r="K19" s="63" t="str">
        <f>C7</f>
        <v>SS-316</v>
      </c>
      <c r="L19" s="63" t="s">
        <v>96</v>
      </c>
      <c r="M19" s="64">
        <f>H19*(LEFT(L19,MIN(IFERROR(FIND("(W)",L19),"Error"))-1))*(LEFT(SUBSTITUTE(L19,LEFT(L19,MIN(IFERROR(FIND("x",L19),"Error"))),""),FIND("(H)",SUBSTITUTE(L19,LEFT(L19,MIN(IFERROR(FIND("x",L19),"Error"))),""))-1))*$C$15*$C$20</f>
        <v>3.4491599999999996</v>
      </c>
      <c r="N19" s="65">
        <f>IF(C7="SS-316",5.5, IF(C7="SS-304",5.5*0.85,"Check the price"))</f>
        <v>5.5</v>
      </c>
      <c r="O19" s="67">
        <f t="shared" ref="O19:O24" si="0">M19*N19</f>
        <v>18.970379999999999</v>
      </c>
      <c r="P19" s="93"/>
      <c r="Q19" s="12"/>
      <c r="R19" s="12"/>
      <c r="S19" s="12"/>
      <c r="T19" s="12"/>
      <c r="U19" s="12"/>
    </row>
    <row r="20" spans="2:21" ht="17.25" x14ac:dyDescent="0.25">
      <c r="B20" s="21" t="s">
        <v>87</v>
      </c>
      <c r="C20" s="122">
        <v>0.28599999999999998</v>
      </c>
      <c r="D20" s="54"/>
      <c r="E20" s="138"/>
      <c r="F20" s="72"/>
      <c r="G20" s="60" t="s">
        <v>105</v>
      </c>
      <c r="H20" s="62">
        <v>1</v>
      </c>
      <c r="I20" s="62"/>
      <c r="J20" s="63" t="s">
        <v>51</v>
      </c>
      <c r="K20" s="63" t="str">
        <f>C7</f>
        <v>SS-316</v>
      </c>
      <c r="L20" s="63" t="str">
        <f>(MID(L19,FIND("x",L19)+1,FIND("(H)",L19)-FIND("x",L19)-1)+2.13)&amp;"(W)"&amp;"x"&amp;(MID(L19,FIND("x",L19)+1,FIND("(H)",L19)-FIND("x",L19)-1)+2.13)&amp;"(H)"</f>
        <v>18.88(W)x18.88(H)</v>
      </c>
      <c r="M20" s="64">
        <f>H20*(LEFT(L20,MIN(IFERROR(FIND("(W)",L20),"Error"))-1))*(LEFT(SUBSTITUTE(L20,LEFT(L20,MIN(IFERROR(FIND("x",L20),"Error"))),""),FIND("(H)",SUBSTITUTE(L20,LEFT(L20,MIN(IFERROR(FIND("x",L20),"Error"))),""))-1))*$C$15*$C$20</f>
        <v>6.3716223999999988</v>
      </c>
      <c r="N20" s="65">
        <f>IF(C7="SS-316",5.5, IF(C7="SS-304",5.5*0.85,"Check the price"))</f>
        <v>5.5</v>
      </c>
      <c r="O20" s="67">
        <f t="shared" si="0"/>
        <v>35.043923199999995</v>
      </c>
      <c r="P20" s="93"/>
      <c r="Q20" s="12"/>
      <c r="R20" s="12"/>
      <c r="S20" s="12"/>
      <c r="T20" s="12"/>
      <c r="U20" s="12"/>
    </row>
    <row r="21" spans="2:21" x14ac:dyDescent="0.25">
      <c r="B21" s="21" t="s">
        <v>144</v>
      </c>
      <c r="C21" s="55">
        <v>1.2</v>
      </c>
      <c r="D21" s="54"/>
      <c r="E21" s="138"/>
      <c r="F21" s="72"/>
      <c r="G21" s="60" t="s">
        <v>106</v>
      </c>
      <c r="H21" s="62">
        <v>1</v>
      </c>
      <c r="I21" s="62"/>
      <c r="J21" s="63" t="s">
        <v>51</v>
      </c>
      <c r="K21" s="63"/>
      <c r="L21" s="63"/>
      <c r="M21" s="64"/>
      <c r="N21" s="65"/>
      <c r="O21" s="67">
        <v>30</v>
      </c>
      <c r="P21" s="93"/>
      <c r="Q21" s="12"/>
      <c r="R21" s="12"/>
      <c r="S21" s="12"/>
      <c r="T21" s="12"/>
      <c r="U21" s="12"/>
    </row>
    <row r="22" spans="2:21" x14ac:dyDescent="0.25">
      <c r="B22" s="12"/>
      <c r="C22" s="57"/>
      <c r="D22" s="56"/>
      <c r="E22" s="138"/>
      <c r="F22" s="72"/>
      <c r="G22" s="60" t="s">
        <v>108</v>
      </c>
      <c r="H22" s="62">
        <v>12</v>
      </c>
      <c r="I22" s="62"/>
      <c r="J22" s="63" t="s">
        <v>51</v>
      </c>
      <c r="K22" s="63" t="str">
        <f>C7</f>
        <v>SS-316</v>
      </c>
      <c r="L22" s="63" t="s">
        <v>107</v>
      </c>
      <c r="M22" s="64"/>
      <c r="N22" s="65"/>
      <c r="O22" s="67">
        <f>11.39*1.26*1.15</f>
        <v>16.504109999999997</v>
      </c>
      <c r="P22" s="94" t="s">
        <v>129</v>
      </c>
      <c r="Q22" s="12"/>
      <c r="R22" s="12"/>
      <c r="S22" s="12"/>
      <c r="T22" s="12"/>
      <c r="U22" s="12"/>
    </row>
    <row r="23" spans="2:21" x14ac:dyDescent="0.25">
      <c r="B23" s="12"/>
      <c r="C23" s="57"/>
      <c r="D23" s="56"/>
      <c r="E23" s="138"/>
      <c r="F23" s="72"/>
      <c r="G23" s="60" t="s">
        <v>72</v>
      </c>
      <c r="H23" s="62">
        <v>2</v>
      </c>
      <c r="I23" s="53"/>
      <c r="J23" s="63" t="s">
        <v>51</v>
      </c>
      <c r="K23" s="63" t="str">
        <f>C7</f>
        <v>SS-316</v>
      </c>
      <c r="L23" s="63" t="s">
        <v>100</v>
      </c>
      <c r="M23" s="64">
        <f>H23*(LEFT(L23,MIN(IFERROR(FIND("(W)",L23),"Error"))-1))*(LEFT(SUBSTITUTE(L23,LEFT(L23,MIN(IFERROR(FIND("x",L23),"Error"))),""),FIND("(H)",SUBSTITUTE(L23,LEFT(L23,MIN(IFERROR(FIND("x",L23),"Error"))),""))-1))*$C$15*$C$20</f>
        <v>2.2958649999999996</v>
      </c>
      <c r="N23" s="65">
        <f>IF(C7="SS-316",5.5, IF(C7="SS-304",5.5*0.85,"Check the price"))</f>
        <v>5.5</v>
      </c>
      <c r="O23" s="67">
        <f t="shared" si="0"/>
        <v>12.627257499999997</v>
      </c>
      <c r="P23" s="93"/>
      <c r="Q23" s="12"/>
      <c r="R23" s="12"/>
      <c r="S23" s="12"/>
      <c r="T23" s="12"/>
      <c r="U23" s="12"/>
    </row>
    <row r="24" spans="2:21" x14ac:dyDescent="0.25">
      <c r="B24" s="12"/>
      <c r="C24" s="57"/>
      <c r="D24" s="54"/>
      <c r="E24" s="138"/>
      <c r="F24" s="72"/>
      <c r="G24" s="60" t="s">
        <v>73</v>
      </c>
      <c r="H24" s="62">
        <v>2</v>
      </c>
      <c r="I24" s="53"/>
      <c r="J24" s="63" t="s">
        <v>51</v>
      </c>
      <c r="K24" s="63" t="str">
        <f>C7</f>
        <v>SS-316</v>
      </c>
      <c r="L24" s="63" t="s">
        <v>101</v>
      </c>
      <c r="M24" s="64">
        <f>H24*(LEFT(L24,MIN(IFERROR(FIND("(W)",L24),"Error"))-1))*(LEFT(SUBSTITUTE(L24,LEFT(L24,MIN(IFERROR(FIND("x",L24),"Error"))),""),FIND("(H)",SUBSTITUTE(L24,LEFT(L24,MIN(IFERROR(FIND("x",L24),"Error"))),""))-1))*$C$15*$C$20</f>
        <v>2.9302487500000001</v>
      </c>
      <c r="N24" s="65">
        <f>IF(C7="SS-316",5.5, IF(C7="SS-304",5.5*0.85,"Check the price"))</f>
        <v>5.5</v>
      </c>
      <c r="O24" s="67">
        <f t="shared" si="0"/>
        <v>16.116368125000001</v>
      </c>
      <c r="P24" s="93"/>
      <c r="Q24" s="12"/>
      <c r="R24" s="12"/>
      <c r="S24" s="12"/>
      <c r="T24" s="12"/>
      <c r="U24" s="12"/>
    </row>
    <row r="25" spans="2:21" x14ac:dyDescent="0.25">
      <c r="B25" s="12"/>
      <c r="C25" s="57"/>
      <c r="D25" s="54"/>
      <c r="E25" s="138"/>
      <c r="F25" s="72"/>
      <c r="G25" s="60" t="s">
        <v>103</v>
      </c>
      <c r="H25" s="62">
        <v>3</v>
      </c>
      <c r="I25" s="53"/>
      <c r="J25" s="63" t="s">
        <v>51</v>
      </c>
      <c r="K25" s="63" t="str">
        <f>C7</f>
        <v>SS-316</v>
      </c>
      <c r="L25" s="63" t="s">
        <v>104</v>
      </c>
      <c r="M25" s="64">
        <f>H25*3.14*((2*0.154)^2/4)*8*$C$20</f>
        <v>0.51114999935999994</v>
      </c>
      <c r="N25" s="65"/>
      <c r="O25" s="67">
        <f>H25*48.89*1.26*1.15</f>
        <v>212.52482999999998</v>
      </c>
      <c r="P25" s="94" t="s">
        <v>128</v>
      </c>
      <c r="Q25" s="12"/>
      <c r="R25" s="12"/>
      <c r="S25" s="12"/>
      <c r="T25" s="12"/>
      <c r="U25" s="12"/>
    </row>
    <row r="26" spans="2:21" x14ac:dyDescent="0.25">
      <c r="B26" s="12"/>
      <c r="C26" s="57"/>
      <c r="D26" s="56"/>
      <c r="E26" s="138"/>
      <c r="F26" s="72"/>
      <c r="G26" s="60" t="s">
        <v>102</v>
      </c>
      <c r="H26" s="62">
        <v>3</v>
      </c>
      <c r="I26" s="53"/>
      <c r="J26" s="63" t="s">
        <v>51</v>
      </c>
      <c r="K26" s="63"/>
      <c r="L26" s="63"/>
      <c r="M26" s="64"/>
      <c r="N26" s="65"/>
      <c r="O26" s="67">
        <f>3*10*1.26*1.15</f>
        <v>43.469999999999992</v>
      </c>
      <c r="P26" s="94"/>
      <c r="Q26" s="12"/>
      <c r="R26" s="12"/>
      <c r="S26" s="12"/>
      <c r="T26" s="12"/>
      <c r="U26" s="12"/>
    </row>
    <row r="27" spans="2:21" ht="20.100000000000001" customHeight="1" x14ac:dyDescent="0.25">
      <c r="B27" s="12"/>
      <c r="C27" s="57"/>
      <c r="D27" s="56"/>
      <c r="E27" s="138"/>
      <c r="F27" s="149" t="str">
        <f>"Pipes and Ports,"&amp;C7</f>
        <v>Pipes and Ports,SS-316</v>
      </c>
      <c r="G27" s="133"/>
      <c r="H27" s="75"/>
      <c r="I27" s="75"/>
      <c r="J27" s="75"/>
      <c r="K27" s="75"/>
      <c r="L27" s="75"/>
      <c r="M27" s="75"/>
      <c r="N27" s="115"/>
      <c r="O27" s="80">
        <f>SUM(O15:O26)</f>
        <v>1288.0708088249999</v>
      </c>
      <c r="P27" s="95"/>
      <c r="Q27" s="12"/>
      <c r="R27" s="12"/>
      <c r="S27" s="12"/>
      <c r="T27" s="12"/>
      <c r="U27" s="12"/>
    </row>
    <row r="28" spans="2:21" ht="14.45" customHeight="1" x14ac:dyDescent="0.25">
      <c r="B28" s="12"/>
      <c r="C28" s="57"/>
      <c r="D28" s="54"/>
      <c r="E28" s="139" t="s">
        <v>78</v>
      </c>
      <c r="F28" s="72"/>
      <c r="G28" s="60" t="s">
        <v>120</v>
      </c>
      <c r="H28" s="68">
        <v>2</v>
      </c>
      <c r="I28" s="68">
        <f>C13</f>
        <v>36</v>
      </c>
      <c r="J28" s="63" t="s">
        <v>49</v>
      </c>
      <c r="K28" s="63" t="s">
        <v>116</v>
      </c>
      <c r="L28" s="63" t="s">
        <v>119</v>
      </c>
      <c r="M28" s="65">
        <f>H28*I28*(15.3/12)</f>
        <v>91.800000000000011</v>
      </c>
      <c r="N28" s="65">
        <v>2</v>
      </c>
      <c r="O28" s="65">
        <f t="shared" ref="O28:O33" si="1">M28*N28</f>
        <v>183.60000000000002</v>
      </c>
      <c r="P28" s="93"/>
      <c r="Q28" s="12"/>
      <c r="R28" s="12"/>
      <c r="S28" s="12"/>
      <c r="T28" s="12"/>
      <c r="U28" s="12"/>
    </row>
    <row r="29" spans="2:21" x14ac:dyDescent="0.25">
      <c r="B29" s="12"/>
      <c r="C29" s="57"/>
      <c r="D29" s="54"/>
      <c r="E29" s="140"/>
      <c r="F29" s="72"/>
      <c r="G29" s="60" t="s">
        <v>74</v>
      </c>
      <c r="H29" s="68">
        <v>2</v>
      </c>
      <c r="I29" s="68">
        <f>C13-4.66</f>
        <v>31.34</v>
      </c>
      <c r="J29" s="63" t="s">
        <v>49</v>
      </c>
      <c r="K29" s="63" t="s">
        <v>116</v>
      </c>
      <c r="L29" s="63" t="s">
        <v>111</v>
      </c>
      <c r="M29" s="67">
        <f>H29*(I29/12)*10.75</f>
        <v>56.150833333333338</v>
      </c>
      <c r="N29" s="65">
        <v>2</v>
      </c>
      <c r="O29" s="65">
        <f t="shared" si="1"/>
        <v>112.30166666666668</v>
      </c>
      <c r="P29" s="93"/>
      <c r="Q29" s="12"/>
      <c r="R29" s="12"/>
      <c r="S29" s="12"/>
      <c r="T29" s="12"/>
      <c r="U29" s="12"/>
    </row>
    <row r="30" spans="2:21" x14ac:dyDescent="0.25">
      <c r="B30" s="12"/>
      <c r="C30" s="57"/>
      <c r="D30" s="56"/>
      <c r="E30" s="140"/>
      <c r="F30" s="72"/>
      <c r="G30" s="60" t="s">
        <v>75</v>
      </c>
      <c r="H30" s="68">
        <v>4</v>
      </c>
      <c r="I30" s="62">
        <v>39</v>
      </c>
      <c r="J30" s="63" t="s">
        <v>49</v>
      </c>
      <c r="K30" s="63" t="s">
        <v>116</v>
      </c>
      <c r="L30" s="63" t="s">
        <v>113</v>
      </c>
      <c r="M30" s="63">
        <f>H30*(I30/12)*3.71</f>
        <v>48.23</v>
      </c>
      <c r="N30" s="65">
        <v>2</v>
      </c>
      <c r="O30" s="65">
        <f t="shared" si="1"/>
        <v>96.46</v>
      </c>
      <c r="P30" s="93"/>
      <c r="Q30" s="12"/>
      <c r="R30" s="12"/>
      <c r="S30" s="12"/>
      <c r="T30" s="12"/>
      <c r="U30" s="12"/>
    </row>
    <row r="31" spans="2:21" x14ac:dyDescent="0.25">
      <c r="B31" s="12"/>
      <c r="C31" s="57"/>
      <c r="D31" s="54"/>
      <c r="E31" s="140"/>
      <c r="F31" s="72"/>
      <c r="G31" s="60" t="s">
        <v>76</v>
      </c>
      <c r="H31" s="68">
        <v>4</v>
      </c>
      <c r="I31" s="68">
        <f>C13</f>
        <v>36</v>
      </c>
      <c r="J31" s="63" t="s">
        <v>49</v>
      </c>
      <c r="K31" s="63" t="s">
        <v>116</v>
      </c>
      <c r="L31" s="63" t="s">
        <v>113</v>
      </c>
      <c r="M31" s="67">
        <f>H31*(I31/12)*3.71</f>
        <v>44.519999999999996</v>
      </c>
      <c r="N31" s="65">
        <v>2</v>
      </c>
      <c r="O31" s="65">
        <f t="shared" si="1"/>
        <v>89.039999999999992</v>
      </c>
      <c r="P31" s="93"/>
      <c r="Q31" s="12"/>
      <c r="R31" s="12"/>
      <c r="S31" s="12"/>
      <c r="T31" s="12"/>
      <c r="U31" s="12"/>
    </row>
    <row r="32" spans="2:21" x14ac:dyDescent="0.25">
      <c r="B32" s="12"/>
      <c r="C32" s="57"/>
      <c r="D32" s="54"/>
      <c r="E32" s="140"/>
      <c r="F32" s="72"/>
      <c r="G32" s="60" t="s">
        <v>114</v>
      </c>
      <c r="H32" s="68">
        <v>2</v>
      </c>
      <c r="I32" s="68">
        <f>C14-6.66</f>
        <v>29.34</v>
      </c>
      <c r="J32" s="63" t="s">
        <v>49</v>
      </c>
      <c r="K32" s="63" t="s">
        <v>116</v>
      </c>
      <c r="L32" s="63" t="s">
        <v>113</v>
      </c>
      <c r="M32" s="67">
        <f>H32*(I32/12)*3.71</f>
        <v>18.1419</v>
      </c>
      <c r="N32" s="65">
        <v>2</v>
      </c>
      <c r="O32" s="65">
        <f t="shared" si="1"/>
        <v>36.283799999999999</v>
      </c>
      <c r="P32" s="93"/>
      <c r="Q32" s="12"/>
      <c r="R32" s="12"/>
      <c r="S32" s="12"/>
      <c r="T32" s="12"/>
      <c r="U32" s="12"/>
    </row>
    <row r="33" spans="2:21" x14ac:dyDescent="0.25">
      <c r="B33" s="12"/>
      <c r="C33" s="57"/>
      <c r="D33" s="54"/>
      <c r="E33" s="140"/>
      <c r="F33" s="72"/>
      <c r="G33" s="60" t="s">
        <v>77</v>
      </c>
      <c r="H33" s="68">
        <v>2</v>
      </c>
      <c r="I33" s="62">
        <v>3</v>
      </c>
      <c r="J33" s="63" t="s">
        <v>49</v>
      </c>
      <c r="K33" s="63" t="s">
        <v>116</v>
      </c>
      <c r="L33" s="63" t="s">
        <v>113</v>
      </c>
      <c r="M33" s="67">
        <f>H33*(I33/12)*3.71</f>
        <v>1.855</v>
      </c>
      <c r="N33" s="65">
        <v>2</v>
      </c>
      <c r="O33" s="65">
        <f t="shared" si="1"/>
        <v>3.71</v>
      </c>
      <c r="P33" s="93"/>
      <c r="Q33" s="12"/>
      <c r="R33" s="12"/>
      <c r="S33" s="12"/>
      <c r="T33" s="12"/>
      <c r="U33" s="12"/>
    </row>
    <row r="34" spans="2:21" x14ac:dyDescent="0.25">
      <c r="C34" s="58"/>
      <c r="E34" s="140"/>
      <c r="F34" s="72"/>
      <c r="G34" s="60" t="s">
        <v>94</v>
      </c>
      <c r="H34" s="68">
        <v>1</v>
      </c>
      <c r="I34" s="62"/>
      <c r="J34" s="63" t="s">
        <v>51</v>
      </c>
      <c r="K34" s="63"/>
      <c r="L34" s="63"/>
      <c r="M34" s="63"/>
      <c r="N34" s="65"/>
      <c r="O34" s="67">
        <v>150</v>
      </c>
      <c r="P34" s="93"/>
      <c r="Q34" s="12"/>
      <c r="R34" s="12"/>
      <c r="S34" s="12"/>
      <c r="T34" s="12"/>
      <c r="U34" s="12"/>
    </row>
    <row r="35" spans="2:21" x14ac:dyDescent="0.25">
      <c r="B35" s="15"/>
      <c r="C35" s="59"/>
      <c r="E35" s="141"/>
      <c r="F35" s="144" t="s">
        <v>142</v>
      </c>
      <c r="G35" s="145"/>
      <c r="H35" s="81"/>
      <c r="I35" s="74"/>
      <c r="J35" s="74"/>
      <c r="K35" s="74"/>
      <c r="L35" s="74"/>
      <c r="M35" s="74"/>
      <c r="N35" s="81"/>
      <c r="O35" s="84">
        <f>SUM(O28:O34)</f>
        <v>671.39546666666672</v>
      </c>
      <c r="P35" s="96"/>
      <c r="Q35" s="12"/>
      <c r="R35" s="12"/>
      <c r="S35" s="12"/>
      <c r="T35" s="12"/>
      <c r="U35" s="12"/>
    </row>
    <row r="36" spans="2:21" x14ac:dyDescent="0.25">
      <c r="B36" s="15"/>
      <c r="C36" s="59"/>
      <c r="E36" s="134" t="s">
        <v>78</v>
      </c>
      <c r="F36" s="72"/>
      <c r="G36" s="60" t="s">
        <v>79</v>
      </c>
      <c r="H36" s="68">
        <v>1</v>
      </c>
      <c r="I36" s="62">
        <f>4*48+4*(C14-4.5)+4*36</f>
        <v>462</v>
      </c>
      <c r="J36" s="63" t="s">
        <v>49</v>
      </c>
      <c r="K36" s="63" t="s">
        <v>116</v>
      </c>
      <c r="L36" s="63" t="s">
        <v>115</v>
      </c>
      <c r="M36" s="67">
        <f>H36*(I36/12)*2.44</f>
        <v>93.94</v>
      </c>
      <c r="N36" s="65">
        <v>2</v>
      </c>
      <c r="O36" s="67">
        <f>M36*N36</f>
        <v>187.88</v>
      </c>
      <c r="P36" s="93"/>
      <c r="Q36" s="12"/>
      <c r="R36" s="12"/>
      <c r="S36" s="12"/>
      <c r="T36" s="12"/>
      <c r="U36" s="12"/>
    </row>
    <row r="37" spans="2:21" x14ac:dyDescent="0.25">
      <c r="B37" s="15"/>
      <c r="C37" s="59"/>
      <c r="E37" s="135"/>
      <c r="F37" s="72"/>
      <c r="G37" s="60" t="s">
        <v>84</v>
      </c>
      <c r="H37" s="68">
        <v>1</v>
      </c>
      <c r="I37" s="62">
        <f>6*43+4*36+2*(C14-4.5)+4*13.75</f>
        <v>520</v>
      </c>
      <c r="J37" s="63" t="s">
        <v>49</v>
      </c>
      <c r="K37" s="63" t="s">
        <v>116</v>
      </c>
      <c r="L37" s="63" t="s">
        <v>112</v>
      </c>
      <c r="M37" s="67">
        <f>H37*(I37/12)*3.04</f>
        <v>131.73333333333335</v>
      </c>
      <c r="N37" s="65">
        <v>2</v>
      </c>
      <c r="O37" s="67">
        <f>M37*N37</f>
        <v>263.4666666666667</v>
      </c>
      <c r="P37" s="93"/>
      <c r="Q37" s="12"/>
      <c r="R37" s="12"/>
      <c r="S37" s="12"/>
      <c r="T37" s="12"/>
      <c r="U37" s="12"/>
    </row>
    <row r="38" spans="2:21" x14ac:dyDescent="0.25">
      <c r="B38" s="15"/>
      <c r="C38" s="59"/>
      <c r="E38" s="135"/>
      <c r="F38" s="72"/>
      <c r="G38" s="60" t="s">
        <v>81</v>
      </c>
      <c r="H38" s="68">
        <v>1</v>
      </c>
      <c r="I38" s="62">
        <f>2*54+2*12+2*30+8*2</f>
        <v>208</v>
      </c>
      <c r="J38" s="63" t="s">
        <v>49</v>
      </c>
      <c r="K38" s="63" t="s">
        <v>116</v>
      </c>
      <c r="L38" s="63" t="s">
        <v>109</v>
      </c>
      <c r="M38" s="67">
        <f>H38*(I38/12)*3.19</f>
        <v>55.293333333333329</v>
      </c>
      <c r="N38" s="65">
        <v>2</v>
      </c>
      <c r="O38" s="67">
        <f>M38*N38</f>
        <v>110.58666666666666</v>
      </c>
      <c r="P38" s="93"/>
      <c r="Q38" s="12"/>
      <c r="R38" s="12"/>
      <c r="S38" s="12"/>
      <c r="T38" s="12"/>
      <c r="U38" s="12"/>
    </row>
    <row r="39" spans="2:21" x14ac:dyDescent="0.25">
      <c r="B39" s="15"/>
      <c r="C39" s="59"/>
      <c r="E39" s="135"/>
      <c r="F39" s="72"/>
      <c r="G39" s="60" t="s">
        <v>82</v>
      </c>
      <c r="H39" s="68">
        <v>5</v>
      </c>
      <c r="I39" s="62">
        <v>16</v>
      </c>
      <c r="J39" s="63" t="s">
        <v>49</v>
      </c>
      <c r="K39" s="63" t="s">
        <v>116</v>
      </c>
      <c r="L39" s="63" t="s">
        <v>117</v>
      </c>
      <c r="M39" s="63">
        <f>H39*(I39/12)*2.67</f>
        <v>17.799999999999997</v>
      </c>
      <c r="N39" s="65">
        <v>2</v>
      </c>
      <c r="O39" s="67">
        <f>M39*N39</f>
        <v>35.599999999999994</v>
      </c>
      <c r="P39" s="93"/>
      <c r="Q39" s="12"/>
      <c r="R39" s="12"/>
      <c r="S39" s="12"/>
      <c r="T39" s="12"/>
      <c r="U39" s="12"/>
    </row>
    <row r="40" spans="2:21" x14ac:dyDescent="0.25">
      <c r="B40" s="15"/>
      <c r="C40" s="59"/>
      <c r="E40" s="135"/>
      <c r="F40" s="72"/>
      <c r="G40" s="60" t="s">
        <v>83</v>
      </c>
      <c r="H40" s="68">
        <v>1</v>
      </c>
      <c r="I40" s="68">
        <f>C14</f>
        <v>36</v>
      </c>
      <c r="J40" s="63" t="s">
        <v>49</v>
      </c>
      <c r="K40" s="63" t="s">
        <v>125</v>
      </c>
      <c r="L40" s="63" t="s">
        <v>118</v>
      </c>
      <c r="M40" s="65">
        <f>9.1*(C14/12)*3</f>
        <v>81.899999999999991</v>
      </c>
      <c r="O40" s="70">
        <f>70.68*I40/12*1.26*1.15</f>
        <v>307.24596000000008</v>
      </c>
      <c r="P40" s="94" t="s">
        <v>127</v>
      </c>
      <c r="Q40" s="12"/>
      <c r="R40" s="12"/>
      <c r="S40" s="12"/>
      <c r="T40" s="12"/>
      <c r="U40" s="12"/>
    </row>
    <row r="41" spans="2:21" x14ac:dyDescent="0.25">
      <c r="B41" s="15"/>
      <c r="C41" s="59"/>
      <c r="E41" s="135"/>
      <c r="F41" s="72"/>
      <c r="G41" s="60" t="s">
        <v>80</v>
      </c>
      <c r="H41" s="68">
        <v>1</v>
      </c>
      <c r="I41" s="62"/>
      <c r="J41" s="63" t="s">
        <v>51</v>
      </c>
      <c r="K41" s="63" t="s">
        <v>125</v>
      </c>
      <c r="L41" s="63"/>
      <c r="M41" s="63"/>
      <c r="N41" s="65"/>
      <c r="O41" s="63">
        <v>25</v>
      </c>
      <c r="P41" s="93"/>
      <c r="Q41" s="12"/>
      <c r="R41" s="12"/>
      <c r="S41" s="12"/>
      <c r="T41" s="12"/>
      <c r="U41" s="12"/>
    </row>
    <row r="42" spans="2:21" x14ac:dyDescent="0.25">
      <c r="B42" s="15"/>
      <c r="C42" s="59"/>
      <c r="E42" s="135"/>
      <c r="F42" s="72"/>
      <c r="G42" s="60" t="s">
        <v>94</v>
      </c>
      <c r="H42" s="68">
        <v>1</v>
      </c>
      <c r="I42" s="62"/>
      <c r="J42" s="63" t="s">
        <v>51</v>
      </c>
      <c r="K42" s="63"/>
      <c r="L42" s="63"/>
      <c r="M42" s="63"/>
      <c r="N42" s="65"/>
      <c r="O42" s="87">
        <v>150</v>
      </c>
      <c r="P42" s="93"/>
      <c r="S42" s="12"/>
      <c r="T42" s="12"/>
      <c r="U42" s="12"/>
    </row>
    <row r="43" spans="2:21" ht="20.100000000000001" customHeight="1" x14ac:dyDescent="0.25">
      <c r="B43" s="15"/>
      <c r="C43" s="59"/>
      <c r="E43" s="136"/>
      <c r="F43" s="132" t="s">
        <v>78</v>
      </c>
      <c r="G43" s="133"/>
      <c r="H43" s="75"/>
      <c r="I43" s="75"/>
      <c r="J43" s="75"/>
      <c r="K43" s="75"/>
      <c r="L43" s="75"/>
      <c r="M43" s="115">
        <f>SUM(M4:M42)</f>
        <v>955.40803680787974</v>
      </c>
      <c r="N43" s="115"/>
      <c r="O43" s="85">
        <f>SUM(O36:O42)</f>
        <v>1079.7792933333335</v>
      </c>
      <c r="P43" s="95"/>
      <c r="T43" s="12"/>
      <c r="U43" s="12"/>
    </row>
    <row r="44" spans="2:21" ht="33.6" customHeight="1" x14ac:dyDescent="0.25">
      <c r="B44" s="15"/>
      <c r="C44" s="59"/>
      <c r="E44" s="97" t="s">
        <v>56</v>
      </c>
      <c r="F44" s="146" t="s">
        <v>148</v>
      </c>
      <c r="G44" s="147"/>
      <c r="H44" s="81">
        <f>C17</f>
        <v>20.833333333333332</v>
      </c>
      <c r="I44" s="74"/>
      <c r="J44" s="86" t="s">
        <v>57</v>
      </c>
      <c r="K44" s="86"/>
      <c r="L44" s="86"/>
      <c r="M44" s="86"/>
      <c r="N44" s="116"/>
      <c r="O44" s="86"/>
      <c r="P44" s="96"/>
      <c r="S44" s="12"/>
      <c r="T44" s="12"/>
      <c r="U44" s="12"/>
    </row>
    <row r="45" spans="2:21" x14ac:dyDescent="0.25">
      <c r="B45" s="15"/>
      <c r="C45" s="59"/>
      <c r="E45" s="129"/>
      <c r="F45" s="98"/>
      <c r="G45" s="12"/>
      <c r="N45" s="113"/>
      <c r="S45" s="12"/>
      <c r="T45" s="12"/>
      <c r="U45" s="12"/>
    </row>
    <row r="46" spans="2:21" x14ac:dyDescent="0.25">
      <c r="E46" s="130"/>
      <c r="F46" s="137" t="str">
        <f>"HDB"&amp;C5/10*1.7&amp;"-"&amp;C5&amp;"CFM"</f>
        <v>HDB85-500CFM</v>
      </c>
      <c r="G46" s="137"/>
      <c r="H46" s="99"/>
      <c r="I46" s="99"/>
      <c r="J46" s="99"/>
      <c r="K46" s="99"/>
      <c r="L46" s="99"/>
      <c r="M46" s="99"/>
      <c r="N46" s="117"/>
      <c r="O46" s="100">
        <f>O9+O14+O27+O35+O43</f>
        <v>4809.1100011541666</v>
      </c>
      <c r="P46" s="99"/>
      <c r="Q46" s="45"/>
      <c r="R46" s="45"/>
      <c r="S46" s="12"/>
      <c r="T46" s="12"/>
      <c r="U46" s="12"/>
    </row>
    <row r="47" spans="2:21" s="47" customFormat="1" x14ac:dyDescent="0.25">
      <c r="E47" s="88"/>
      <c r="F47" s="89"/>
      <c r="G47" s="89"/>
      <c r="H47" s="48"/>
      <c r="I47" s="48"/>
      <c r="J47" s="48"/>
      <c r="K47" s="48"/>
      <c r="L47" s="48"/>
      <c r="M47" s="48"/>
      <c r="N47" s="118"/>
      <c r="O47" s="90"/>
      <c r="Q47" s="91"/>
      <c r="R47" s="91"/>
      <c r="S47" s="48"/>
      <c r="T47" s="48"/>
      <c r="U47" s="48"/>
    </row>
    <row r="48" spans="2:21" x14ac:dyDescent="0.25">
      <c r="G48" s="131" t="s">
        <v>136</v>
      </c>
      <c r="H48" s="131"/>
    </row>
    <row r="49" spans="7:21" x14ac:dyDescent="0.25">
      <c r="G49" s="103" t="s">
        <v>130</v>
      </c>
      <c r="H49" s="101">
        <f>O46</f>
        <v>4809.1100011541666</v>
      </c>
      <c r="M49" s="113"/>
      <c r="Q49" s="45"/>
      <c r="S49" s="12"/>
      <c r="T49" s="12"/>
      <c r="U49" s="12"/>
    </row>
    <row r="50" spans="7:21" x14ac:dyDescent="0.25">
      <c r="G50" s="104" t="s">
        <v>131</v>
      </c>
      <c r="H50" s="102">
        <f>H49*C21</f>
        <v>5770.9320013850001</v>
      </c>
      <c r="S50" s="12"/>
      <c r="T50" s="12"/>
      <c r="U50" s="12"/>
    </row>
    <row r="51" spans="7:21" x14ac:dyDescent="0.25">
      <c r="G51" s="93" t="s">
        <v>132</v>
      </c>
      <c r="H51" s="102">
        <f>H50/0.7</f>
        <v>8244.1885734071438</v>
      </c>
      <c r="J51" s="45"/>
      <c r="S51" s="12"/>
      <c r="T51" s="12"/>
      <c r="U51" s="12"/>
    </row>
    <row r="52" spans="7:21" x14ac:dyDescent="0.25">
      <c r="G52" s="93" t="s">
        <v>126</v>
      </c>
      <c r="H52" s="102">
        <f>SUM(H50:H51)</f>
        <v>14015.120574792145</v>
      </c>
      <c r="S52" s="12"/>
      <c r="T52" s="12"/>
      <c r="U52" s="12"/>
    </row>
    <row r="53" spans="7:21" x14ac:dyDescent="0.25">
      <c r="G53" s="105"/>
      <c r="H53" s="20"/>
      <c r="S53" s="12"/>
      <c r="T53" s="12"/>
      <c r="U53" s="12"/>
    </row>
    <row r="54" spans="7:21" x14ac:dyDescent="0.25">
      <c r="G54" s="131" t="s">
        <v>135</v>
      </c>
      <c r="H54" s="131"/>
    </row>
    <row r="55" spans="7:21" x14ac:dyDescent="0.25">
      <c r="G55" s="93" t="s">
        <v>126</v>
      </c>
      <c r="H55" s="102">
        <f>H52</f>
        <v>14015.120574792145</v>
      </c>
    </row>
    <row r="56" spans="7:21" x14ac:dyDescent="0.25">
      <c r="G56" s="93" t="s">
        <v>133</v>
      </c>
      <c r="H56" s="102">
        <f>H55*1.25</f>
        <v>17518.900718490182</v>
      </c>
      <c r="M56" s="113"/>
    </row>
    <row r="57" spans="7:21" x14ac:dyDescent="0.25">
      <c r="G57" s="93" t="s">
        <v>134</v>
      </c>
      <c r="H57" s="102">
        <f>H55/(1-40%)</f>
        <v>23358.534291320244</v>
      </c>
    </row>
    <row r="59" spans="7:21" x14ac:dyDescent="0.25">
      <c r="G59" s="131" t="s">
        <v>140</v>
      </c>
      <c r="H59" s="131"/>
    </row>
    <row r="60" spans="7:21" x14ac:dyDescent="0.25">
      <c r="G60" s="93" t="s">
        <v>137</v>
      </c>
      <c r="H60" s="102">
        <f>H55/1.226</f>
        <v>11431.582850564555</v>
      </c>
    </row>
    <row r="61" spans="7:21" x14ac:dyDescent="0.25">
      <c r="G61" s="93" t="s">
        <v>138</v>
      </c>
      <c r="H61" s="102">
        <f>H60*1.25</f>
        <v>14289.478563205694</v>
      </c>
    </row>
    <row r="62" spans="7:21" x14ac:dyDescent="0.25">
      <c r="G62" s="93" t="s">
        <v>139</v>
      </c>
      <c r="H62" s="102">
        <f>H60/(1-40%)</f>
        <v>19052.638084274258</v>
      </c>
    </row>
    <row r="70" spans="3:13" x14ac:dyDescent="0.25">
      <c r="C70" s="52"/>
    </row>
    <row r="79" spans="3:13" x14ac:dyDescent="0.25">
      <c r="M79" s="113"/>
    </row>
  </sheetData>
  <mergeCells count="18">
    <mergeCell ref="E28:E35"/>
    <mergeCell ref="F35:G35"/>
    <mergeCell ref="F44:G44"/>
    <mergeCell ref="F14:G14"/>
    <mergeCell ref="F27:G27"/>
    <mergeCell ref="E15:E27"/>
    <mergeCell ref="F9:G9"/>
    <mergeCell ref="E4:E9"/>
    <mergeCell ref="E10:E14"/>
    <mergeCell ref="I2:J2"/>
    <mergeCell ref="B4:C4"/>
    <mergeCell ref="E45:E46"/>
    <mergeCell ref="G54:H54"/>
    <mergeCell ref="G59:H59"/>
    <mergeCell ref="G48:H48"/>
    <mergeCell ref="F43:G43"/>
    <mergeCell ref="E36:E43"/>
    <mergeCell ref="F46:G46"/>
  </mergeCells>
  <hyperlinks>
    <hyperlink ref="P15" r:id="rId1"/>
    <hyperlink ref="P16" r:id="rId2"/>
    <hyperlink ref="P40" r:id="rId3" display="https://www.mcmaster.com/6849T387-6849T818/"/>
    <hyperlink ref="P18" r:id="rId4"/>
    <hyperlink ref="P25" r:id="rId5" display="https://www.mcmaster.com/9110T955/"/>
    <hyperlink ref="P22" r:id="rId6" display="https://www.mcmaster.com/92800A230/"/>
    <hyperlink ref="P8" r:id="rId7"/>
    <hyperlink ref="P17" r:id="rId8"/>
  </hyperlinks>
  <pageMargins left="0.7" right="0.7" top="0.75" bottom="0.75" header="0.3" footer="0.3"/>
  <pageSetup paperSize="9" orientation="portrait" horizontalDpi="300" verticalDpi="300" r:id="rId9"/>
  <legacyDrawing r:id="rId10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'data input'!$M$3:$M$7</xm:f>
          </x14:formula1>
          <xm:sqref>C5</xm:sqref>
        </x14:dataValidation>
        <x14:dataValidation type="list" allowBlank="1" showInputMessage="1" showErrorMessage="1">
          <x14:formula1>
            <xm:f>'data input'!$B$46:$B$48</xm:f>
          </x14:formula1>
          <xm:sqref>C7:C8</xm:sqref>
        </x14:dataValidation>
        <x14:dataValidation type="list" allowBlank="1" showInputMessage="1" showErrorMessage="1">
          <x14:formula1>
            <xm:f>'data input'!$P$13:$P$14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00AD8260A59284FA92C89A763D35D98" ma:contentTypeVersion="0" ma:contentTypeDescription="Create a new document." ma:contentTypeScope="" ma:versionID="95fbf3a6a14cee09a51fe5f73965504e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0967b7be50301903c78f9c39c6fd9af8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D9B251F2-B5E4-42DE-B60A-1CA33A034C2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737E0577-A069-420B-B0B7-3F525B09780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1097F43-BAA0-4568-BAD3-F02206A08FA4}">
  <ds:schemaRefs>
    <ds:schemaRef ds:uri="http://schemas.microsoft.com/office/2006/metadata/properties"/>
    <ds:schemaRef ds:uri="http://purl.org/dc/terms/"/>
    <ds:schemaRef ds:uri="http://schemas.openxmlformats.org/package/2006/metadata/core-properties"/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www.w3.org/XML/1998/namespace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User Form</vt:lpstr>
      <vt:lpstr>data input</vt:lpstr>
      <vt:lpstr>HDB Canada</vt:lpstr>
      <vt:lpstr>Sheet1</vt:lpstr>
    </vt:vector>
  </TitlesOfParts>
  <Manager/>
  <Company/>
  <LinksUpToDate>false</LinksUpToDate>
  <SharedDoc>false</SharedDoc>
  <HyperlinkBase/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Shpilsky, Inbal</dc:creator>
  <cp:keywords/>
  <dc:description/>
  <cp:lastModifiedBy>MAHETAB</cp:lastModifiedBy>
  <cp:revision/>
  <dcterms:created xsi:type="dcterms:W3CDTF">2020-12-22T21:00:13Z</dcterms:created>
  <dcterms:modified xsi:type="dcterms:W3CDTF">2022-11-26T07:30:24Z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0x010100B00AD8260A59284FA92C89A763D35D98</vt:lpwstr>
  </property>
  <property fmtid="{D5CDD505-2E9C-101B-9397-08002B2CF9AE}" pid="3" name="MediaServiceImageTags">
    <vt:lpwstr/>
  </property>
</Properties>
</file>